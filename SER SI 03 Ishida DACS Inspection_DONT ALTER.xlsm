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drawings/drawing2.xml" ContentType="application/vnd.openxmlformats-officedocument.drawing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handc.sharepoint.com/sites/DomesticServiceTeam/Shared Documents/Report Templates/"/>
    </mc:Choice>
  </mc:AlternateContent>
  <xr:revisionPtr revIDLastSave="236" documentId="13_ncr:1_{CC2FBD0A-E5A9-429C-B4C2-E698B27B6CA5}" xr6:coauthVersionLast="47" xr6:coauthVersionMax="47" xr10:uidLastSave="{A93E71E1-E8D0-4168-9CD5-734638A30CE2}"/>
  <workbookProtection workbookAlgorithmName="SHA-512" workbookHashValue="ENTjI9XyfSfSWtb1Fl9o1StSSsvKlmb2+NheMG2R8RAELj19LSfqDQ8eJ1dHAhY5tRHJoUlrOxnJFaFQc+FLkg==" workbookSaltValue="XT+OaQAyfWCDHAIEzVumbg==" workbookSpinCount="100000" lockStructure="1"/>
  <bookViews>
    <workbookView xWindow="-108" yWindow="-108" windowWidth="23256" windowHeight="12576" firstSheet="1" activeTab="1" xr2:uid="{00000000-000D-0000-FFFF-FFFF00000000}"/>
  </bookViews>
  <sheets>
    <sheet name="Macros" sheetId="8" state="veryHidden" r:id="rId1"/>
    <sheet name="Worksheet" sheetId="7" r:id="rId2"/>
    <sheet name="Cal" sheetId="19" r:id="rId3"/>
    <sheet name="CustData" sheetId="18" state="veryHidden" r:id="rId4"/>
  </sheets>
  <functionGroups builtInGroupCount="19"/>
  <externalReferences>
    <externalReference r:id="rId5"/>
  </externalReferences>
  <definedNames>
    <definedName name="aaaag100">Worksheet!$L$7</definedName>
    <definedName name="aaaag101">Worksheet!$L$7</definedName>
    <definedName name="aaag100">Worksheet!$B$1</definedName>
    <definedName name="aaag101">Worksheet!$B$1</definedName>
    <definedName name="_xlnm.Print_Area" localSheetId="2">Cal!$A$1:$G$41</definedName>
    <definedName name="_xlnm.Print_Area" localSheetId="1">Worksheet!$A$1:$H$223</definedName>
    <definedName name="z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Z9" i="7" l="1"/>
  <c r="ZZ8" i="7"/>
  <c r="J6" i="7"/>
  <c r="J5" i="7"/>
  <c r="S3" i="7"/>
  <c r="S2" i="7"/>
  <c r="S1" i="7"/>
  <c r="ZZ90" i="19"/>
  <c r="J6" i="19"/>
  <c r="J5" i="19"/>
  <c r="J2" i="19" s="1"/>
  <c r="D3" i="19"/>
  <c r="J2" i="7" l="1"/>
  <c r="G1" i="7"/>
  <c r="ZZ97" i="7" l="1"/>
  <c r="ZZ98" i="7" s="1"/>
  <c r="D1" i="19"/>
  <c r="F1" i="18" a="1"/>
  <c r="F1" i="18" s="1"/>
  <c r="E2" i="18" a="1"/>
  <c r="E2" i="18" s="1"/>
  <c r="A2" i="18" a="1"/>
  <c r="A2" i="18" s="1"/>
  <c r="B2" i="19" l="1"/>
  <c r="B3" i="19" l="1"/>
  <c r="B4" i="19"/>
  <c r="N32" i="19"/>
  <c r="N31" i="19"/>
  <c r="N30" i="19"/>
  <c r="N29" i="19"/>
  <c r="N28" i="19"/>
  <c r="N25" i="19"/>
  <c r="N24" i="19"/>
  <c r="N23" i="19"/>
  <c r="M22" i="19"/>
  <c r="M21" i="19"/>
  <c r="D6" i="19" l="1"/>
  <c r="D5" i="19"/>
  <c r="D4" i="19" l="1"/>
  <c r="B6" i="19"/>
  <c r="B5" i="19"/>
  <c r="B1" i="19"/>
  <c r="ZZ97" i="19" s="1"/>
  <c r="ZZ98" i="19" s="1"/>
  <c r="B9" i="19" l="1"/>
  <c r="A32" i="19" l="1"/>
  <c r="O32" i="19" s="1"/>
  <c r="P32" i="19" s="1"/>
  <c r="C32" i="19" s="1"/>
  <c r="A31" i="19"/>
  <c r="O31" i="19" s="1"/>
  <c r="A23" i="19"/>
  <c r="O23" i="19" s="1"/>
  <c r="A30" i="19"/>
  <c r="O30" i="19" s="1"/>
  <c r="A29" i="19"/>
  <c r="O29" i="19" s="1"/>
  <c r="A28" i="19"/>
  <c r="O28" i="19" s="1"/>
  <c r="A13" i="19"/>
  <c r="L32" i="19" l="1"/>
  <c r="A15" i="19"/>
  <c r="E32" i="19"/>
  <c r="D32" i="19"/>
  <c r="A24" i="19"/>
  <c r="O24" i="19" s="1"/>
  <c r="P31" i="19"/>
  <c r="C31" i="19" s="1"/>
  <c r="L31" i="19"/>
  <c r="L30" i="19"/>
  <c r="P30" i="19"/>
  <c r="C30" i="19" s="1"/>
  <c r="L29" i="19"/>
  <c r="P29" i="19"/>
  <c r="C29" i="19" s="1"/>
  <c r="A25" i="19"/>
  <c r="O25" i="19" s="1"/>
  <c r="L23" i="19"/>
  <c r="P23" i="19"/>
  <c r="C23" i="19" s="1"/>
  <c r="L28" i="19"/>
  <c r="P28" i="19"/>
  <c r="C28" i="19" s="1"/>
  <c r="E31" i="19" l="1"/>
  <c r="D31" i="19"/>
  <c r="E30" i="19"/>
  <c r="D30" i="19"/>
  <c r="E28" i="19"/>
  <c r="D28" i="19"/>
  <c r="D29" i="19"/>
  <c r="E29" i="19"/>
  <c r="E23" i="19"/>
  <c r="D23" i="19"/>
  <c r="P25" i="19"/>
  <c r="C25" i="19" s="1"/>
  <c r="L25" i="19"/>
  <c r="L24" i="19"/>
  <c r="P24" i="19"/>
  <c r="C24" i="19" s="1"/>
  <c r="E25" i="19" l="1"/>
  <c r="D25" i="19"/>
  <c r="E24" i="19"/>
  <c r="D24" i="19"/>
  <c r="L86" i="7" l="1"/>
  <c r="L87" i="7"/>
  <c r="M87" i="7" s="1"/>
  <c r="L88" i="7"/>
  <c r="M88" i="7" s="1"/>
  <c r="L89" i="7"/>
  <c r="M89" i="7" s="1"/>
  <c r="L90" i="7"/>
  <c r="L85" i="7" l="1"/>
  <c r="M85" i="7" s="1"/>
  <c r="L82" i="7"/>
  <c r="M82" i="7" s="1"/>
  <c r="L83" i="7"/>
  <c r="M83" i="7" s="1"/>
  <c r="L84" i="7"/>
  <c r="M84" i="7" s="1"/>
  <c r="M86" i="7"/>
  <c r="J7" i="19" l="1"/>
  <c r="K7" i="7"/>
  <c r="L81" i="7"/>
  <c r="M81" i="7" s="1"/>
  <c r="L94" i="7"/>
  <c r="M94" i="7" s="1"/>
  <c r="L95" i="7"/>
  <c r="M95" i="7" s="1"/>
  <c r="L96" i="7"/>
  <c r="M96" i="7" s="1"/>
  <c r="L97" i="7"/>
  <c r="M97" i="7" s="1"/>
  <c r="L98" i="7"/>
  <c r="M98" i="7" s="1"/>
  <c r="L99" i="7"/>
  <c r="M99" i="7" s="1"/>
  <c r="L100" i="7"/>
  <c r="M100" i="7" s="1"/>
  <c r="L79" i="7"/>
  <c r="M79" i="7" s="1"/>
  <c r="L60" i="7"/>
  <c r="M60" i="7" s="1"/>
  <c r="L61" i="7"/>
  <c r="M61" i="7" s="1"/>
  <c r="L62" i="7"/>
  <c r="M62" i="7" s="1"/>
  <c r="L63" i="7"/>
  <c r="M63" i="7" s="1"/>
  <c r="L64" i="7"/>
  <c r="M64" i="7" s="1"/>
  <c r="L65" i="7"/>
  <c r="M65" i="7" s="1"/>
  <c r="L66" i="7"/>
  <c r="M66" i="7" s="1"/>
  <c r="L73" i="7"/>
  <c r="M73" i="7" s="1"/>
  <c r="L74" i="7"/>
  <c r="M74" i="7" s="1"/>
  <c r="L75" i="7"/>
  <c r="M75" i="7" s="1"/>
  <c r="L76" i="7"/>
  <c r="M76" i="7" s="1"/>
  <c r="L77" i="7"/>
  <c r="M77" i="7" s="1"/>
  <c r="L78" i="7"/>
  <c r="M78" i="7" s="1"/>
  <c r="L72" i="7"/>
  <c r="M72" i="7" s="1"/>
  <c r="L67" i="7"/>
  <c r="M67" i="7" s="1"/>
  <c r="L55" i="7"/>
  <c r="M55" i="7" s="1"/>
  <c r="L56" i="7"/>
  <c r="M56" i="7" s="1"/>
  <c r="L51" i="7"/>
  <c r="M51" i="7" s="1"/>
  <c r="L50" i="7"/>
  <c r="M50" i="7" s="1"/>
  <c r="L52" i="7"/>
  <c r="M52" i="7" s="1"/>
  <c r="L49" i="7"/>
  <c r="M49" i="7" s="1"/>
  <c r="E1" i="18" l="1" a="1"/>
  <c r="E1" i="18" s="1"/>
  <c r="Q1" i="7" s="1"/>
  <c r="G2" i="18" l="1"/>
  <c r="M2" i="18"/>
  <c r="G3" i="18"/>
  <c r="M3" i="18"/>
  <c r="M1" i="18"/>
  <c r="M222" i="7" l="1"/>
  <c r="M211" i="7"/>
  <c r="M200" i="7"/>
  <c r="M189" i="7"/>
  <c r="M176" i="7"/>
  <c r="M165" i="7"/>
  <c r="M143" i="7"/>
  <c r="M154" i="7"/>
  <c r="M129" i="7" l="1" a="1"/>
  <c r="M129" i="7" s="1"/>
  <c r="M130" i="7" s="1"/>
  <c r="L47" i="7" l="1"/>
  <c r="M47" i="7" s="1"/>
  <c r="L48" i="7"/>
  <c r="M48" i="7" s="1"/>
  <c r="L53" i="7"/>
  <c r="M53" i="7" s="1"/>
  <c r="L54" i="7"/>
  <c r="M54" i="7" s="1"/>
  <c r="L57" i="7"/>
  <c r="M57" i="7" s="1"/>
  <c r="L58" i="7"/>
  <c r="M58" i="7" s="1"/>
  <c r="L59" i="7"/>
  <c r="M59" i="7" s="1"/>
  <c r="L68" i="7"/>
  <c r="M68" i="7" s="1"/>
  <c r="L69" i="7"/>
  <c r="M69" i="7" s="1"/>
  <c r="L70" i="7"/>
  <c r="M70" i="7" s="1"/>
  <c r="L71" i="7"/>
  <c r="M71" i="7" s="1"/>
  <c r="L80" i="7"/>
  <c r="M80" i="7" s="1"/>
  <c r="M90" i="7"/>
  <c r="L91" i="7"/>
  <c r="M91" i="7" s="1"/>
  <c r="L92" i="7"/>
  <c r="M92" i="7" s="1"/>
  <c r="L93" i="7"/>
  <c r="M93" i="7" s="1"/>
  <c r="L101" i="7"/>
  <c r="M101" i="7" s="1"/>
  <c r="L102" i="7"/>
  <c r="M102" i="7" s="1"/>
  <c r="L103" i="7"/>
  <c r="M103" i="7" s="1"/>
  <c r="L104" i="7"/>
  <c r="M104" i="7" s="1"/>
  <c r="L105" i="7"/>
  <c r="M105" i="7" s="1"/>
  <c r="L106" i="7"/>
  <c r="M106" i="7" s="1"/>
  <c r="L107" i="7"/>
  <c r="M107" i="7" s="1"/>
  <c r="L108" i="7"/>
  <c r="M108" i="7" s="1"/>
  <c r="L109" i="7"/>
  <c r="M109" i="7" s="1"/>
  <c r="L110" i="7"/>
  <c r="M110" i="7" s="1"/>
  <c r="L111" i="7"/>
  <c r="M111" i="7" s="1"/>
  <c r="L112" i="7"/>
  <c r="M112" i="7" s="1"/>
  <c r="L113" i="7"/>
  <c r="M113" i="7" s="1"/>
  <c r="L114" i="7"/>
  <c r="M114" i="7" s="1"/>
  <c r="L117" i="7"/>
  <c r="M117" i="7" s="1"/>
  <c r="L118" i="7"/>
  <c r="M118" i="7" s="1"/>
  <c r="L119" i="7"/>
  <c r="M119" i="7" s="1"/>
  <c r="L46" i="7"/>
  <c r="M46" i="7" s="1"/>
  <c r="M42" i="7" l="1" a="1"/>
  <c r="M42" i="7" s="1"/>
  <c r="M45" i="7" s="1"/>
  <c r="L116" i="7" l="1"/>
  <c r="M116" i="7" s="1"/>
  <c r="L115" i="7" l="1"/>
  <c r="M115" i="7" s="1"/>
  <c r="L120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<sst xmlns="http://schemas.openxmlformats.org/spreadsheetml/2006/main" count="127" uniqueCount="86">
  <si>
    <t>Customer:</t>
  </si>
  <si>
    <t>Date:</t>
  </si>
  <si>
    <t>Contact:</t>
  </si>
  <si>
    <t>Job Number:</t>
  </si>
  <si>
    <t>Service Engineer:</t>
  </si>
  <si>
    <t>Serial Number:</t>
  </si>
  <si>
    <t>Model:</t>
  </si>
  <si>
    <t>Site Address:</t>
  </si>
  <si>
    <t>FSR/SO/WBS No.:</t>
  </si>
  <si>
    <t>Macros (Content) MUST be enabled     to access Calibration Form</t>
  </si>
  <si>
    <t>Select 'Enable Content' button above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</si>
  <si>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</si>
  <si>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G</t>
  </si>
  <si>
    <t>NG</t>
  </si>
  <si>
    <t>Comment</t>
  </si>
  <si>
    <t>Inspection/Testing</t>
  </si>
  <si>
    <t>Line Name:</t>
  </si>
  <si>
    <t>Station Number:</t>
  </si>
  <si>
    <t>N/A</t>
  </si>
  <si>
    <t>CAPACITY/WEIGHING DETAILS</t>
  </si>
  <si>
    <t>Resolution (g):</t>
  </si>
  <si>
    <t>PERFORMANCE INSPECTION</t>
  </si>
  <si>
    <t>OK</t>
  </si>
  <si>
    <t>Result (g)</t>
  </si>
  <si>
    <t>Variance (g)</t>
  </si>
  <si>
    <t>Fluctuation (g)</t>
  </si>
  <si>
    <t>RCU</t>
  </si>
  <si>
    <t>Air Supply</t>
  </si>
  <si>
    <t>Testing</t>
  </si>
  <si>
    <t>Summary</t>
  </si>
  <si>
    <t>Data Validation Prep.</t>
  </si>
  <si>
    <t>Cabinet and Body</t>
  </si>
  <si>
    <t>Check assembly is stability and level.</t>
  </si>
  <si>
    <t>Inspect condition of wind cover/s.</t>
  </si>
  <si>
    <t>Inspect condition of cabinet and body.</t>
  </si>
  <si>
    <t>Inspect conduit, cables and glands.</t>
  </si>
  <si>
    <t>Inspect electrical cabinet internal components.</t>
  </si>
  <si>
    <t>Check electrical cabinet cooling fans and filters.</t>
  </si>
  <si>
    <t>Inspect security and condition of fittings.</t>
  </si>
  <si>
    <t>Check air pressure setting.</t>
  </si>
  <si>
    <t>Check supplied air is clean and dry.</t>
  </si>
  <si>
    <t>Infeed Section</t>
  </si>
  <si>
    <t>Check conveyor table securing mechanism.</t>
  </si>
  <si>
    <t>Check surface condition of conveyor belt.</t>
  </si>
  <si>
    <t>Check tracking beads of conveyor belt.</t>
  </si>
  <si>
    <t>Check conveyor belt rollers and bearings.</t>
  </si>
  <si>
    <t>Inspect condition of drive belt, gears and cover.</t>
  </si>
  <si>
    <t>Check tension of drive belt.</t>
  </si>
  <si>
    <t>Inspect condition of drive coupling.</t>
  </si>
  <si>
    <t>Inspect condition of photo-eye and reflector.</t>
  </si>
  <si>
    <t>Confirm correct operation of photo-eye.</t>
  </si>
  <si>
    <t>Check conveyor belt tension and tracking.</t>
  </si>
  <si>
    <t>Check conveyor height alignment with adjacent.</t>
  </si>
  <si>
    <t>Weigh Section</t>
  </si>
  <si>
    <t>Check condition and security of PE and reflector.</t>
  </si>
  <si>
    <t>Check photo-eye operation.</t>
  </si>
  <si>
    <t>Reject Section</t>
  </si>
  <si>
    <t>Check reject mechanisms for wear and security.</t>
  </si>
  <si>
    <t>Inspect condition of reject chute/box.</t>
  </si>
  <si>
    <t>Check functionality of reject mechanisms.</t>
  </si>
  <si>
    <t>Check condition of RCU screen and enclosure.</t>
  </si>
  <si>
    <t>Check calibration of RCU touchscreen.</t>
  </si>
  <si>
    <t>Check date/time settings.</t>
  </si>
  <si>
    <t>Check operation of printer.</t>
  </si>
  <si>
    <t>Perform DACS calibration and complete document.</t>
  </si>
  <si>
    <t>Confirm rejection functionality in all directions.</t>
  </si>
  <si>
    <t>Check for excessive vibration to DACS.</t>
  </si>
  <si>
    <t>Check for excessive air flow affecting DACS.</t>
  </si>
  <si>
    <t>Capacity (g):</t>
  </si>
  <si>
    <t>*** Weights to be placed at centre of weigh table. ***</t>
  </si>
  <si>
    <t>Perform Zero Adjustment.</t>
  </si>
  <si>
    <t>Re-perform Zero Adjustment.</t>
  </si>
  <si>
    <t>Perform three (3) Span Weight tests for repeatability and record readings below.</t>
  </si>
  <si>
    <t>Perform Linear Adjustment as per RCU (Force balance sensor machines only).</t>
  </si>
  <si>
    <t>Perform Linearity Test (as below). To be performed cumulatively (successive additions).</t>
  </si>
  <si>
    <t>REPEATABILITY TEST - Certified Test Masses Used (g)</t>
  </si>
  <si>
    <t>LINEARITY TEST - Certified Test Masses Used (g)</t>
  </si>
  <si>
    <t>COMMENTS</t>
  </si>
  <si>
    <t>Start typing then use drop-down</t>
  </si>
  <si>
    <t>A194</t>
  </si>
  <si>
    <t>B194</t>
  </si>
  <si>
    <t>C194</t>
  </si>
  <si>
    <t/>
  </si>
  <si>
    <t>A181</t>
  </si>
  <si>
    <t>B181</t>
  </si>
  <si>
    <t>C181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</si>
</sst>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\ mmmm\ yyyy;@"/>
    <numFmt numFmtId="165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sz val="12"/>
      <name val="Calibri"/>
      <family val="2"/>
      <scheme val="minor"/>
    </font>
    <font>
      <sz val="11"/>
      <color rgb="FF141414"/>
      <name val="Calibri"/>
      <family val="2"/>
      <scheme val="minor"/>
    </font>
    <font>
      <sz val="11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FF"/>
      <name val="Calibri"/>
      <family val="2"/>
    </font>
    <font>
      <sz val="11"/>
      <color rgb="FF0000FF"/>
      <name val="Calibri"/>
      <family val="2"/>
    </font>
    <font>
      <b/>
      <sz val="11"/>
      <color rgb="FFFF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0" fillId="4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4" xfId="0" applyFont="1" applyBorder="1" applyAlignment="1">
      <alignment vertical="center"/>
    </xf>
    <xf numFmtId="0" fontId="0" fillId="0" borderId="0" xfId="0" applyProtection="1">
      <protection locked="0"/>
    </xf>
    <xf numFmtId="0" fontId="1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 applyProtection="1">
      <alignment vertical="center"/>
      <protection locked="0"/>
    </xf>
    <xf numFmtId="0" fontId="1" fillId="2" borderId="13" xfId="0" applyFont="1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4" xfId="0" applyBorder="1" applyAlignment="1">
      <alignment vertical="center"/>
    </xf>
    <xf numFmtId="0" fontId="5" fillId="2" borderId="3" xfId="0" applyFont="1" applyFill="1" applyBorder="1" applyAlignment="1">
      <alignment horizontal="center" vertical="center"/>
    </xf>
    <xf numFmtId="0" fontId="1" fillId="0" borderId="0" xfId="0" applyFont="1" applyProtection="1">
      <protection locked="0"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6" fillId="0" borderId="0" xfId="0" applyFont="1" applyAlignment="1" applyProtection="1">
      <alignment horizontal="center" vertical="center"/>
      <protection locked="0" hidden="1"/>
    </xf>
    <xf numFmtId="0" fontId="0" fillId="0" borderId="0" xfId="0" quotePrefix="1" applyAlignment="1" applyProtection="1">
      <alignment vertical="center"/>
      <protection locked="0" hidden="1"/>
    </xf>
    <xf numFmtId="0" fontId="0" fillId="0" borderId="2" xfId="0" applyBorder="1" applyAlignment="1" applyProtection="1">
      <alignment vertical="center"/>
      <protection locked="0" hidden="1"/>
    </xf>
    <xf numFmtId="0" fontId="5" fillId="2" borderId="3" xfId="0" quotePrefix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/>
      <protection locked="0" hidden="1"/>
    </xf>
    <xf numFmtId="0" fontId="1" fillId="0" borderId="1" xfId="0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>
      <alignment horizontal="center" vertical="center"/>
    </xf>
    <xf numFmtId="0" fontId="9" fillId="0" borderId="0" xfId="0" applyFont="1" applyProtection="1"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locked="0" hidden="1"/>
    </xf>
    <xf numFmtId="165" fontId="11" fillId="0" borderId="0" xfId="0" applyNumberFormat="1" applyFont="1" applyAlignment="1" applyProtection="1">
      <alignment vertical="center"/>
      <protection locked="0"/>
    </xf>
    <xf numFmtId="1" fontId="0" fillId="0" borderId="0" xfId="0" applyNumberFormat="1" applyAlignment="1" applyProtection="1">
      <alignment horizontal="left" vertical="center"/>
      <protection locked="0" hidden="1"/>
    </xf>
    <xf numFmtId="0" fontId="0" fillId="5" borderId="0" xfId="0" applyFill="1" applyAlignment="1" applyProtection="1">
      <alignment vertical="center"/>
      <protection locked="0" hidden="1"/>
    </xf>
    <xf numFmtId="14" fontId="0" fillId="0" borderId="0" xfId="0" applyNumberFormat="1" applyAlignment="1" applyProtection="1">
      <alignment horizontal="left" vertical="center"/>
      <protection locked="0" hidden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4" fillId="0" borderId="4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>
      <alignment horizontal="left" vertical="center"/>
    </xf>
    <xf numFmtId="0" fontId="0" fillId="0" borderId="14" xfId="0" applyBorder="1" applyAlignment="1" applyProtection="1">
      <alignment horizontal="left" vertical="center"/>
      <protection locked="0"/>
    </xf>
    <xf numFmtId="0" fontId="1" fillId="2" borderId="13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2" borderId="10" xfId="0" applyFont="1" applyFill="1" applyBorder="1" applyAlignment="1">
      <alignment horizontal="center" vertical="center"/>
    </xf>
    <xf numFmtId="1" fontId="0" fillId="0" borderId="4" xfId="0" applyNumberFormat="1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vertical="center"/>
    </xf>
    <xf numFmtId="0" fontId="0" fillId="0" borderId="13" xfId="0" applyBorder="1" applyAlignment="1" applyProtection="1">
      <alignment horizontal="left" vertical="center"/>
      <protection locked="0"/>
    </xf>
    <xf numFmtId="0" fontId="1" fillId="0" borderId="0" xfId="0" applyFont="1" applyAlignment="1">
      <alignment vertical="center"/>
    </xf>
    <xf numFmtId="1" fontId="0" fillId="0" borderId="1" xfId="0" applyNumberFormat="1" applyBorder="1" applyAlignment="1" applyProtection="1">
      <alignment horizontal="left" vertical="center"/>
      <protection locked="0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64" fontId="0" fillId="0" borderId="13" xfId="0" applyNumberFormat="1" applyBorder="1" applyAlignment="1" applyProtection="1">
      <alignment horizontal="left" vertical="center"/>
      <protection hidden="1"/>
    </xf>
    <xf numFmtId="0" fontId="4" fillId="0" borderId="7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4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Alignment="1" applyProtection="1">
      <alignment vertical="center"/>
      <protection locked="0" hidden="1"/>
    </xf>
    <xf numFmtId="0" fontId="0" fillId="0" borderId="14" xfId="0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3" xfId="0" applyFill="1" applyBorder="1" applyAlignment="1" applyProtection="1">
      <alignment vertical="center"/>
      <protection locked="0"/>
    </xf>
    <xf numFmtId="0" fontId="0" fillId="2" borderId="5" xfId="0" applyFill="1" applyBorder="1" applyAlignment="1" applyProtection="1">
      <alignment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quotePrefix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164" fontId="0" fillId="0" borderId="4" xfId="0" applyNumberFormat="1" applyBorder="1" applyAlignment="1" applyProtection="1">
      <alignment horizontal="left" vertical="center"/>
      <protection hidden="1"/>
    </xf>
    <xf numFmtId="164" fontId="0" fillId="0" borderId="3" xfId="0" applyNumberFormat="1" applyBorder="1" applyAlignment="1" applyProtection="1">
      <alignment horizontal="left" vertical="center"/>
      <protection hidden="1"/>
    </xf>
    <xf numFmtId="164" fontId="0" fillId="0" borderId="5" xfId="0" applyNumberFormat="1" applyBorder="1" applyAlignment="1" applyProtection="1">
      <alignment horizontal="left" vertical="center"/>
      <protection hidden="1"/>
    </xf>
    <xf numFmtId="0" fontId="0" fillId="0" borderId="4" xfId="0" applyBorder="1" applyAlignment="1" applyProtection="1">
      <alignment horizontal="left" vertical="center"/>
      <protection hidden="1"/>
    </xf>
    <xf numFmtId="0" fontId="0" fillId="0" borderId="3" xfId="0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 vertical="center"/>
      <protection hidden="1"/>
    </xf>
    <xf numFmtId="0" fontId="0" fillId="0" borderId="4" xfId="0" applyBorder="1" applyAlignment="1" applyProtection="1">
      <alignment horizontal="left" vertical="center" wrapText="1"/>
      <protection hidden="1"/>
    </xf>
    <xf numFmtId="0" fontId="0" fillId="0" borderId="1" xfId="0" applyBorder="1" applyAlignment="1">
      <alignment vertical="center" wrapText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3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4" borderId="1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19">
    <dxf>
      <font>
        <color theme="0"/>
      </font>
    </dxf>
    <dxf>
      <font>
        <b val="0"/>
        <i/>
      </font>
      <fill>
        <patternFill>
          <bgColor theme="7" tint="0.79998168889431442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numFmt numFmtId="166" formatCode="\+0.0;\-0.0;0.0"/>
    </dxf>
    <dxf>
      <numFmt numFmtId="167" formatCode="\+0.00;\-0.00;0.00"/>
    </dxf>
    <dxf>
      <numFmt numFmtId="168" formatCode="\+0;\-0;0"/>
    </dxf>
    <dxf>
      <numFmt numFmtId="169" formatCode="0.0"/>
    </dxf>
    <dxf>
      <numFmt numFmtId="2" formatCode="0.00"/>
    </dxf>
    <dxf>
      <numFmt numFmtId="1" formatCode="0"/>
    </dxf>
    <dxf>
      <numFmt numFmtId="170" formatCode="\±0.0"/>
    </dxf>
    <dxf>
      <numFmt numFmtId="171" formatCode="\±0"/>
    </dxf>
    <dxf>
      <numFmt numFmtId="172" formatCode="\±0.00"/>
    </dxf>
    <dxf>
      <font>
        <color theme="0"/>
      </font>
    </dxf>
    <dxf>
      <font>
        <b val="0"/>
        <i/>
      </font>
      <fill>
        <patternFill>
          <bgColor theme="7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firstButton="1" fmlaLink="$J$46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$J$52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4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J$57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fmlaLink="$J$5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Radio" firstButton="1" fmlaLink="$J$70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J$7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J$90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Radio" firstButton="1" fmlaLink="$J$92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Radio" firstButton="1" fmlaLink="$J$91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firstButton="1" fmlaLink="$J$10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firstButton="1" fmlaLink="$J$103" lockText="1" noThreeD="1"/>
</file>

<file path=xl/ctrlProps/ctrlProp63.xml><?xml version="1.0" encoding="utf-8"?>
<formControlPr xmlns="http://schemas.microsoft.com/office/spreadsheetml/2009/9/main" objectType="Radio" firstButton="1" fmlaLink="$J$104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firstButton="1" fmlaLink="$J$105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firstButton="1" fmlaLink="$J$106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firstButton="1" fmlaLink="$J$107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firstButton="1" fmlaLink="$J$108" lockText="1" noThreeD="1"/>
</file>

<file path=xl/ctrlProps/ctrlProp76.xml><?xml version="1.0" encoding="utf-8"?>
<formControlPr xmlns="http://schemas.microsoft.com/office/spreadsheetml/2009/9/main" objectType="Radio" firstButton="1" fmlaLink="$J$109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firstButton="1" fmlaLink="$J$110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firstButton="1" fmlaLink="$J$111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firstButton="1" fmlaLink="$J$112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Radio" firstButton="1" fmlaLink="$J$48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Radio" firstButton="1" fmlaLink="$J$59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Radio" firstButton="1" fmlaLink="$J$68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Radio" firstButton="1" fmlaLink="$J$102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firstButton="1" fmlaLink="$J$53" lockText="1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Radio" firstButton="1" fmlaLink="$J$69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Radio" firstButton="1" fmlaLink="$J$93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Radio" firstButton="1" fmlaLink="$J$80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Radio" firstButton="1" fmlaLink="$J$49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Radio" firstButton="1" fmlaLink="$J$50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Radio" firstButton="1" fmlaLink="$J$51" lockText="1" noThreeD="1"/>
</file>

<file path=xl/ctrlProps/ctrlProp136.xml><?xml version="1.0" encoding="utf-8"?>
<formControlPr xmlns="http://schemas.microsoft.com/office/spreadsheetml/2009/9/main" objectType="Radio" firstButton="1" fmlaLink="$J$56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Radio" firstButton="1" fmlaLink="$J$55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Radio" firstButton="1" fmlaLink="$J$67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Radio" firstButton="1" fmlaLink="$J$72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Radio" firstButton="1" fmlaLink="$J$78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Radio" firstButton="1" fmlaLink="$J$77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firstButton="1" fmlaLink="$J$76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Radio" firstButton="1" fmlaLink="$J$75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Radio" firstButton="1" fmlaLink="$J$74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Radio" firstButton="1" fmlaLink="$J$73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Radio" firstButton="1" fmlaLink="$J$66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firstButton="1" fmlaLink="$J$65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Radio" firstButton="1" fmlaLink="$J$64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Radio" firstButton="1" fmlaLink="$J$63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Radio" firstButton="1" fmlaLink="$J$62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Radio" lockText="1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Radio" firstButton="1" fmlaLink="$J$61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Radio" firstButton="1" fmlaLink="$J$60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Radio" firstButton="1" fmlaLink="$J$79" lockText="1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Radio" lockText="1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Radio" firstButton="1" fmlaLink="$J$100" lockText="1" noThreeD="1"/>
</file>

<file path=xl/ctrlProps/ctrlProp210.xml><?xml version="1.0" encoding="utf-8"?>
<formControlPr xmlns="http://schemas.microsoft.com/office/spreadsheetml/2009/9/main" objectType="Radio" lockText="1" noThreeD="1"/>
</file>

<file path=xl/ctrlProps/ctrlProp211.xml><?xml version="1.0" encoding="utf-8"?>
<formControlPr xmlns="http://schemas.microsoft.com/office/spreadsheetml/2009/9/main" objectType="Radio" lockText="1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Radio" firstButton="1" fmlaLink="$J$99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Radio" firstButton="1" fmlaLink="$J$98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Radio" firstButton="1" fmlaLink="$J$97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Radio" firstButton="1" fmlaLink="$J$96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Radio" firstButton="1" fmlaLink="$J$95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Radio" firstButton="1" fmlaLink="$J$94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firstButton="1" fmlaLink="$J$8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firstButton="1" fmlaLink="$J$47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Radio" firstButton="1" fmlaLink="$ZZ$16" lockText="1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Radio" lockText="1" noThreeD="1"/>
</file>

<file path=xl/ctrlProps/ctrlProp257.xml><?xml version="1.0" encoding="utf-8"?>
<formControlPr xmlns="http://schemas.microsoft.com/office/spreadsheetml/2009/9/main" objectType="Radio" firstButton="1" fmlaLink="$ZZ$13" lockText="1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Radio" firstButton="1" fmlaLink="$ZZ$14" lockText="1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Radio" firstButton="1" fmlaLink="$ZZ$15" lockText="1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Radio" firstButton="1" fmlaLink="$ZZ$17" lockText="1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Radio" firstButton="1" fmlaLink="$ZZ$18" lockText="1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Radio" firstButton="1" fmlaLink="$ZZ$19" lockText="1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Radio" firstButton="1" fmlaLink="$ZZ$20" lockText="1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Radio" lockText="1" noThreeD="1"/>
</file>

<file path=xl/ctrlProps/ctrlProp272.xml><?xml version="1.0" encoding="utf-8"?>
<formControlPr xmlns="http://schemas.microsoft.com/office/spreadsheetml/2009/9/main" objectType="Radio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Radio" lockText="1" noThreeD="1"/>
</file>

<file path=xl/ctrlProps/ctrlProp276.xml><?xml version="1.0" encoding="utf-8"?>
<formControlPr xmlns="http://schemas.microsoft.com/office/spreadsheetml/2009/9/main" objectType="Radio" lockText="1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Spin" dx="22" fmlaLink="$K$23" max="30000" page="10" val="0"/>
</file>

<file path=xl/ctrlProps/ctrlProp280.xml><?xml version="1.0" encoding="utf-8"?>
<formControlPr xmlns="http://schemas.microsoft.com/office/spreadsheetml/2009/9/main" objectType="Spin" dx="22" fmlaLink="K24" max="30000" page="10" val="0"/>
</file>

<file path=xl/ctrlProps/ctrlProp281.xml><?xml version="1.0" encoding="utf-8"?>
<formControlPr xmlns="http://schemas.microsoft.com/office/spreadsheetml/2009/9/main" objectType="Spin" dx="22" fmlaLink="K25" max="30000" page="10" val="0"/>
</file>

<file path=xl/ctrlProps/ctrlProp282.xml><?xml version="1.0" encoding="utf-8"?>
<formControlPr xmlns="http://schemas.microsoft.com/office/spreadsheetml/2009/9/main" objectType="Spin" dx="22" fmlaLink="K28" max="30000" page="10" val="0"/>
</file>

<file path=xl/ctrlProps/ctrlProp283.xml><?xml version="1.0" encoding="utf-8"?>
<formControlPr xmlns="http://schemas.microsoft.com/office/spreadsheetml/2009/9/main" objectType="Spin" dx="22" fmlaLink="K29" max="30000" page="10" val="0"/>
</file>

<file path=xl/ctrlProps/ctrlProp284.xml><?xml version="1.0" encoding="utf-8"?>
<formControlPr xmlns="http://schemas.microsoft.com/office/spreadsheetml/2009/9/main" objectType="Spin" dx="22" fmlaLink="K30" max="30000" page="10" val="0"/>
</file>

<file path=xl/ctrlProps/ctrlProp285.xml><?xml version="1.0" encoding="utf-8"?>
<formControlPr xmlns="http://schemas.microsoft.com/office/spreadsheetml/2009/9/main" objectType="Spin" dx="22" fmlaLink="K31" max="30000" page="10" val="0"/>
</file>

<file path=xl/ctrlProps/ctrlProp286.xml><?xml version="1.0" encoding="utf-8"?>
<formControlPr xmlns="http://schemas.microsoft.com/office/spreadsheetml/2009/9/main" objectType="Spin" dx="22" fmlaLink="K32" max="30000" page="10" val="0"/>
</file>

<file path=xl/ctrlProps/ctrlProp287.xml><?xml version="1.0" encoding="utf-8"?>
<formControlPr xmlns="http://schemas.microsoft.com/office/spreadsheetml/2009/9/main" objectType="Spin" dx="22" fmlaLink="$M$23" max="30000" page="10" val="15000"/>
</file>

<file path=xl/ctrlProps/ctrlProp288.xml><?xml version="1.0" encoding="utf-8"?>
<formControlPr xmlns="http://schemas.microsoft.com/office/spreadsheetml/2009/9/main" objectType="Spin" dx="22" fmlaLink="$M$24" max="30000" page="10" val="15000"/>
</file>

<file path=xl/ctrlProps/ctrlProp289.xml><?xml version="1.0" encoding="utf-8"?>
<formControlPr xmlns="http://schemas.microsoft.com/office/spreadsheetml/2009/9/main" objectType="Spin" dx="22" fmlaLink="$M$25" max="30000" page="10" val="15000"/>
</file>

<file path=xl/ctrlProps/ctrlProp290.xml><?xml version="1.0" encoding="utf-8"?>
<formControlPr xmlns="http://schemas.microsoft.com/office/spreadsheetml/2009/9/main" objectType="Spin" dx="22" fmlaLink="$M$28" max="30000" page="10" val="15000"/>
</file>

<file path=xl/ctrlProps/ctrlProp291.xml><?xml version="1.0" encoding="utf-8"?>
<formControlPr xmlns="http://schemas.microsoft.com/office/spreadsheetml/2009/9/main" objectType="Spin" dx="22" fmlaLink="$M$29" max="30000" page="10" val="15000"/>
</file>

<file path=xl/ctrlProps/ctrlProp292.xml><?xml version="1.0" encoding="utf-8"?>
<formControlPr xmlns="http://schemas.microsoft.com/office/spreadsheetml/2009/9/main" objectType="Spin" dx="22" fmlaLink="$M$30" max="30000" page="10" val="15000"/>
</file>

<file path=xl/ctrlProps/ctrlProp293.xml><?xml version="1.0" encoding="utf-8"?>
<formControlPr xmlns="http://schemas.microsoft.com/office/spreadsheetml/2009/9/main" objectType="Spin" dx="22" fmlaLink="$M$31" max="30000" page="10" val="15000"/>
</file>

<file path=xl/ctrlProps/ctrlProp294.xml><?xml version="1.0" encoding="utf-8"?>
<formControlPr xmlns="http://schemas.microsoft.com/office/spreadsheetml/2009/9/main" objectType="Spin" dx="22" fmlaLink="$M$32" max="30000" page="10" val="15000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1104900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138</xdr:row>
          <xdr:rowOff>45720</xdr:rowOff>
        </xdr:from>
        <xdr:to>
          <xdr:col>7</xdr:col>
          <xdr:colOff>914400</xdr:colOff>
          <xdr:row>140</xdr:row>
          <xdr:rowOff>45720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1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159</xdr:row>
          <xdr:rowOff>228600</xdr:rowOff>
        </xdr:from>
        <xdr:to>
          <xdr:col>7</xdr:col>
          <xdr:colOff>914400</xdr:colOff>
          <xdr:row>162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3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149</xdr:row>
          <xdr:rowOff>0</xdr:rowOff>
        </xdr:from>
        <xdr:to>
          <xdr:col>7</xdr:col>
          <xdr:colOff>914400</xdr:colOff>
          <xdr:row>151</xdr:row>
          <xdr:rowOff>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2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171</xdr:row>
          <xdr:rowOff>0</xdr:rowOff>
        </xdr:from>
        <xdr:to>
          <xdr:col>7</xdr:col>
          <xdr:colOff>914400</xdr:colOff>
          <xdr:row>173</xdr:row>
          <xdr:rowOff>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4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190267</xdr:colOff>
      <xdr:row>3</xdr:row>
      <xdr:rowOff>88664</xdr:rowOff>
    </xdr:from>
    <xdr:to>
      <xdr:col>7</xdr:col>
      <xdr:colOff>812243</xdr:colOff>
      <xdr:row>5</xdr:row>
      <xdr:rowOff>209948</xdr:rowOff>
    </xdr:to>
    <xdr:pic>
      <xdr:nvPicPr>
        <xdr:cNvPr id="3" name="Printer Symbol - Main" descr="Fax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61427" y="843044"/>
          <a:ext cx="621976" cy="624204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188" name="Option 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2019300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193" name="Group Box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3198" name="Option 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3199" name="Option 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3200" name="Option 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3201" name="Group Box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3206" name="Option 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3207" name="Option 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3208" name="Option 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3209" name="Group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56</xdr:row>
          <xdr:rowOff>0</xdr:rowOff>
        </xdr:from>
        <xdr:to>
          <xdr:col>5</xdr:col>
          <xdr:colOff>0</xdr:colOff>
          <xdr:row>57</xdr:row>
          <xdr:rowOff>0</xdr:rowOff>
        </xdr:to>
        <xdr:sp macro="" textlink="">
          <xdr:nvSpPr>
            <xdr:cNvPr id="3212" name="Option 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57</xdr:row>
          <xdr:rowOff>0</xdr:rowOff>
        </xdr:to>
        <xdr:sp macro="" textlink="">
          <xdr:nvSpPr>
            <xdr:cNvPr id="3213" name="Group Box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56</xdr:row>
          <xdr:rowOff>251460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3214" name="Option 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56</xdr:row>
          <xdr:rowOff>251460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3215" name="Option 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56</xdr:row>
          <xdr:rowOff>251460</xdr:rowOff>
        </xdr:from>
        <xdr:to>
          <xdr:col>5</xdr:col>
          <xdr:colOff>0</xdr:colOff>
          <xdr:row>58</xdr:row>
          <xdr:rowOff>0</xdr:rowOff>
        </xdr:to>
        <xdr:sp macro="" textlink="">
          <xdr:nvSpPr>
            <xdr:cNvPr id="3216" name="Option 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251460</xdr:rowOff>
        </xdr:from>
        <xdr:to>
          <xdr:col>5</xdr:col>
          <xdr:colOff>0</xdr:colOff>
          <xdr:row>58</xdr:row>
          <xdr:rowOff>0</xdr:rowOff>
        </xdr:to>
        <xdr:sp macro="" textlink="">
          <xdr:nvSpPr>
            <xdr:cNvPr id="3217" name="Group Box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69</xdr:row>
          <xdr:rowOff>0</xdr:rowOff>
        </xdr:from>
        <xdr:to>
          <xdr:col>3</xdr:col>
          <xdr:colOff>0</xdr:colOff>
          <xdr:row>70</xdr:row>
          <xdr:rowOff>0</xdr:rowOff>
        </xdr:to>
        <xdr:sp macro="" textlink="">
          <xdr:nvSpPr>
            <xdr:cNvPr id="3226" name="Option 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3227" name="Option 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69</xdr:row>
          <xdr:rowOff>0</xdr:rowOff>
        </xdr:from>
        <xdr:to>
          <xdr:col>5</xdr:col>
          <xdr:colOff>0</xdr:colOff>
          <xdr:row>70</xdr:row>
          <xdr:rowOff>0</xdr:rowOff>
        </xdr:to>
        <xdr:sp macro="" textlink="">
          <xdr:nvSpPr>
            <xdr:cNvPr id="3228" name="Option 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69</xdr:row>
          <xdr:rowOff>0</xdr:rowOff>
        </xdr:from>
        <xdr:to>
          <xdr:col>5</xdr:col>
          <xdr:colOff>0</xdr:colOff>
          <xdr:row>70</xdr:row>
          <xdr:rowOff>0</xdr:rowOff>
        </xdr:to>
        <xdr:sp macro="" textlink="">
          <xdr:nvSpPr>
            <xdr:cNvPr id="3229" name="Group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70</xdr:row>
          <xdr:rowOff>0</xdr:rowOff>
        </xdr:from>
        <xdr:to>
          <xdr:col>3</xdr:col>
          <xdr:colOff>0</xdr:colOff>
          <xdr:row>71</xdr:row>
          <xdr:rowOff>0</xdr:rowOff>
        </xdr:to>
        <xdr:sp macro="" textlink="">
          <xdr:nvSpPr>
            <xdr:cNvPr id="3230" name="Option 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3231" name="Option 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70</xdr:row>
          <xdr:rowOff>0</xdr:rowOff>
        </xdr:from>
        <xdr:to>
          <xdr:col>5</xdr:col>
          <xdr:colOff>0</xdr:colOff>
          <xdr:row>71</xdr:row>
          <xdr:rowOff>0</xdr:rowOff>
        </xdr:to>
        <xdr:sp macro="" textlink="">
          <xdr:nvSpPr>
            <xdr:cNvPr id="3232" name="Option 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70</xdr:row>
          <xdr:rowOff>0</xdr:rowOff>
        </xdr:from>
        <xdr:to>
          <xdr:col>5</xdr:col>
          <xdr:colOff>0</xdr:colOff>
          <xdr:row>71</xdr:row>
          <xdr:rowOff>0</xdr:rowOff>
        </xdr:to>
        <xdr:sp macro="" textlink="">
          <xdr:nvSpPr>
            <xdr:cNvPr id="3233" name="Group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89</xdr:row>
          <xdr:rowOff>0</xdr:rowOff>
        </xdr:from>
        <xdr:to>
          <xdr:col>5</xdr:col>
          <xdr:colOff>0</xdr:colOff>
          <xdr:row>90</xdr:row>
          <xdr:rowOff>0</xdr:rowOff>
        </xdr:to>
        <xdr:sp macro="" textlink="">
          <xdr:nvSpPr>
            <xdr:cNvPr id="3244" name="Option 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5</xdr:col>
          <xdr:colOff>0</xdr:colOff>
          <xdr:row>90</xdr:row>
          <xdr:rowOff>0</xdr:rowOff>
        </xdr:to>
        <xdr:sp macro="" textlink="">
          <xdr:nvSpPr>
            <xdr:cNvPr id="3245" name="Group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91</xdr:row>
          <xdr:rowOff>0</xdr:rowOff>
        </xdr:from>
        <xdr:to>
          <xdr:col>3</xdr:col>
          <xdr:colOff>0</xdr:colOff>
          <xdr:row>92</xdr:row>
          <xdr:rowOff>0</xdr:rowOff>
        </xdr:to>
        <xdr:sp macro="" textlink="">
          <xdr:nvSpPr>
            <xdr:cNvPr id="3250" name="Option 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3251" name="Option 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91</xdr:row>
          <xdr:rowOff>0</xdr:rowOff>
        </xdr:from>
        <xdr:to>
          <xdr:col>5</xdr:col>
          <xdr:colOff>0</xdr:colOff>
          <xdr:row>92</xdr:row>
          <xdr:rowOff>0</xdr:rowOff>
        </xdr:to>
        <xdr:sp macro="" textlink="">
          <xdr:nvSpPr>
            <xdr:cNvPr id="3252" name="Option 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91</xdr:row>
          <xdr:rowOff>0</xdr:rowOff>
        </xdr:from>
        <xdr:to>
          <xdr:col>5</xdr:col>
          <xdr:colOff>0</xdr:colOff>
          <xdr:row>92</xdr:row>
          <xdr:rowOff>0</xdr:rowOff>
        </xdr:to>
        <xdr:sp macro="" textlink="">
          <xdr:nvSpPr>
            <xdr:cNvPr id="3253" name="Group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184</xdr:row>
          <xdr:rowOff>0</xdr:rowOff>
        </xdr:from>
        <xdr:to>
          <xdr:col>7</xdr:col>
          <xdr:colOff>914400</xdr:colOff>
          <xdr:row>186</xdr:row>
          <xdr:rowOff>0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1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5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195</xdr:row>
          <xdr:rowOff>0</xdr:rowOff>
        </xdr:from>
        <xdr:to>
          <xdr:col>7</xdr:col>
          <xdr:colOff>914400</xdr:colOff>
          <xdr:row>197</xdr:row>
          <xdr:rowOff>0</xdr:rowOff>
        </xdr:to>
        <xdr:sp macro="" textlink="">
          <xdr:nvSpPr>
            <xdr:cNvPr id="3396" name="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1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6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206</xdr:row>
          <xdr:rowOff>0</xdr:rowOff>
        </xdr:from>
        <xdr:to>
          <xdr:col>7</xdr:col>
          <xdr:colOff>914400</xdr:colOff>
          <xdr:row>208</xdr:row>
          <xdr:rowOff>0</xdr:rowOff>
        </xdr:to>
        <xdr:sp macro="" textlink="">
          <xdr:nvSpPr>
            <xdr:cNvPr id="3398" name="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1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7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217</xdr:row>
          <xdr:rowOff>0</xdr:rowOff>
        </xdr:from>
        <xdr:to>
          <xdr:col>7</xdr:col>
          <xdr:colOff>914400</xdr:colOff>
          <xdr:row>219</xdr:row>
          <xdr:rowOff>0</xdr:rowOff>
        </xdr:to>
        <xdr:sp macro="" textlink="">
          <xdr:nvSpPr>
            <xdr:cNvPr id="3399" name="Button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1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Paste Photo 8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Widescreen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211207</xdr:colOff>
      <xdr:row>149</xdr:row>
      <xdr:rowOff>0</xdr:rowOff>
    </xdr:from>
    <xdr:to>
      <xdr:col>7</xdr:col>
      <xdr:colOff>47624</xdr:colOff>
      <xdr:row>151</xdr:row>
      <xdr:rowOff>53230</xdr:rowOff>
    </xdr:to>
    <xdr:sp macro="" textlink="">
      <xdr:nvSpPr>
        <xdr:cNvPr id="189" name="Infill 1" hidden="1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>
          <a:spLocks noChangeAspect="1"/>
        </xdr:cNvSpPr>
      </xdr:nvSpPr>
      <xdr:spPr>
        <a:xfrm>
          <a:off x="1306582" y="35111531"/>
          <a:ext cx="4206011" cy="553293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>
              <a:solidFill>
                <a:schemeClr val="tx1"/>
              </a:solidFill>
            </a:rPr>
            <a:t>This page intentionally</a:t>
          </a:r>
          <a:r>
            <a:rPr lang="en-AU" sz="2000" baseline="0">
              <a:solidFill>
                <a:schemeClr val="tx1"/>
              </a:solidFill>
            </a:rPr>
            <a:t> left blank.</a:t>
          </a:r>
          <a:endParaRPr lang="en-AU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232168</xdr:colOff>
      <xdr:row>192</xdr:row>
      <xdr:rowOff>0</xdr:rowOff>
    </xdr:from>
    <xdr:to>
      <xdr:col>7</xdr:col>
      <xdr:colOff>38820</xdr:colOff>
      <xdr:row>194</xdr:row>
      <xdr:rowOff>29419</xdr:rowOff>
    </xdr:to>
    <xdr:sp macro="" textlink="">
      <xdr:nvSpPr>
        <xdr:cNvPr id="190" name="Infill 2" hidden="1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>
          <a:spLocks noChangeAspect="1"/>
        </xdr:cNvSpPr>
      </xdr:nvSpPr>
      <xdr:spPr>
        <a:xfrm>
          <a:off x="1327543" y="45380672"/>
          <a:ext cx="4176246" cy="529481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>
              <a:solidFill>
                <a:schemeClr val="tx1"/>
              </a:solidFill>
            </a:rPr>
            <a:t>This page intentionally</a:t>
          </a:r>
          <a:r>
            <a:rPr lang="en-AU" sz="2000" baseline="0">
              <a:solidFill>
                <a:schemeClr val="tx1"/>
              </a:solidFill>
            </a:rPr>
            <a:t> left blank.</a:t>
          </a:r>
          <a:endParaRPr lang="en-AU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1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Next Machine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7</xdr:row>
          <xdr:rowOff>7620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730" name="Alt Enter Note" hidden="1">
              <a:extLst>
                <a:ext uri="{63B3BB69-23CF-44E3-9099-C40C66FF867C}">
                  <a14:compatExt spid="_x0000_s3730"/>
                </a:ext>
                <a:ext uri="{FF2B5EF4-FFF2-40B4-BE49-F238E27FC236}">
                  <a16:creationId xmlns:a16="http://schemas.microsoft.com/office/drawing/2014/main" id="{00000000-0008-0000-0100-00009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Alt+Enter to return for new line or paragraph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40</xdr:row>
          <xdr:rowOff>144780</xdr:rowOff>
        </xdr:from>
        <xdr:to>
          <xdr:col>7</xdr:col>
          <xdr:colOff>502920</xdr:colOff>
          <xdr:row>41</xdr:row>
          <xdr:rowOff>144780</xdr:rowOff>
        </xdr:to>
        <xdr:sp macro="" textlink="">
          <xdr:nvSpPr>
            <xdr:cNvPr id="3732" name="Summary Image Button" hidden="1">
              <a:extLst>
                <a:ext uri="{63B3BB69-23CF-44E3-9099-C40C66FF867C}">
                  <a14:compatExt spid="_x0000_s3732"/>
                </a:ext>
                <a:ext uri="{FF2B5EF4-FFF2-40B4-BE49-F238E27FC236}">
                  <a16:creationId xmlns:a16="http://schemas.microsoft.com/office/drawing/2014/main" id="{00000000-0008-0000-0100-00009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If space in 'Comments' box permits, load photo of DACS in lower area by pressing this button.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90</xdr:row>
          <xdr:rowOff>0</xdr:rowOff>
        </xdr:from>
        <xdr:to>
          <xdr:col>3</xdr:col>
          <xdr:colOff>0</xdr:colOff>
          <xdr:row>91</xdr:row>
          <xdr:rowOff>0</xdr:rowOff>
        </xdr:to>
        <xdr:sp macro="" textlink="">
          <xdr:nvSpPr>
            <xdr:cNvPr id="3770" name="Option Button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1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3771" name="Option Button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1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90</xdr:row>
          <xdr:rowOff>0</xdr:rowOff>
        </xdr:from>
        <xdr:to>
          <xdr:col>5</xdr:col>
          <xdr:colOff>0</xdr:colOff>
          <xdr:row>91</xdr:row>
          <xdr:rowOff>0</xdr:rowOff>
        </xdr:to>
        <xdr:sp macro="" textlink="">
          <xdr:nvSpPr>
            <xdr:cNvPr id="3772" name="Option Button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1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90</xdr:row>
          <xdr:rowOff>0</xdr:rowOff>
        </xdr:from>
        <xdr:to>
          <xdr:col>5</xdr:col>
          <xdr:colOff>0</xdr:colOff>
          <xdr:row>91</xdr:row>
          <xdr:rowOff>0</xdr:rowOff>
        </xdr:to>
        <xdr:sp macro="" textlink="">
          <xdr:nvSpPr>
            <xdr:cNvPr id="3839" name="Group Box 767" hidden="1">
              <a:extLst>
                <a:ext uri="{63B3BB69-23CF-44E3-9099-C40C66FF867C}">
                  <a14:compatExt spid="_x0000_s3839"/>
                </a:ext>
                <a:ext uri="{FF2B5EF4-FFF2-40B4-BE49-F238E27FC236}">
                  <a16:creationId xmlns:a16="http://schemas.microsoft.com/office/drawing/2014/main" id="{00000000-0008-0000-0100-0000F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100</xdr:row>
          <xdr:rowOff>0</xdr:rowOff>
        </xdr:from>
        <xdr:to>
          <xdr:col>5</xdr:col>
          <xdr:colOff>0</xdr:colOff>
          <xdr:row>101</xdr:row>
          <xdr:rowOff>0</xdr:rowOff>
        </xdr:to>
        <xdr:sp macro="" textlink="">
          <xdr:nvSpPr>
            <xdr:cNvPr id="3840" name="Group Box 768" hidden="1">
              <a:extLst>
                <a:ext uri="{63B3BB69-23CF-44E3-9099-C40C66FF867C}">
                  <a14:compatExt spid="_x0000_s3840"/>
                </a:ext>
                <a:ext uri="{FF2B5EF4-FFF2-40B4-BE49-F238E27FC236}">
                  <a16:creationId xmlns:a16="http://schemas.microsoft.com/office/drawing/2014/main" id="{00000000-0008-0000-0100-00000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0</xdr:rowOff>
        </xdr:from>
        <xdr:to>
          <xdr:col>5</xdr:col>
          <xdr:colOff>0</xdr:colOff>
          <xdr:row>103</xdr:row>
          <xdr:rowOff>0</xdr:rowOff>
        </xdr:to>
        <xdr:sp macro="" textlink="">
          <xdr:nvSpPr>
            <xdr:cNvPr id="3846" name="Group Box 774" hidden="1">
              <a:extLst>
                <a:ext uri="{63B3BB69-23CF-44E3-9099-C40C66FF867C}">
                  <a14:compatExt spid="_x0000_s3846"/>
                </a:ext>
                <a:ext uri="{FF2B5EF4-FFF2-40B4-BE49-F238E27FC236}">
                  <a16:creationId xmlns:a16="http://schemas.microsoft.com/office/drawing/2014/main" id="{00000000-0008-0000-0100-00000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103</xdr:row>
          <xdr:rowOff>0</xdr:rowOff>
        </xdr:from>
        <xdr:to>
          <xdr:col>5</xdr:col>
          <xdr:colOff>0</xdr:colOff>
          <xdr:row>104</xdr:row>
          <xdr:rowOff>0</xdr:rowOff>
        </xdr:to>
        <xdr:sp macro="" textlink="">
          <xdr:nvSpPr>
            <xdr:cNvPr id="3847" name="Group Box 775" hidden="1">
              <a:extLst>
                <a:ext uri="{63B3BB69-23CF-44E3-9099-C40C66FF867C}">
                  <a14:compatExt spid="_x0000_s3847"/>
                </a:ext>
                <a:ext uri="{FF2B5EF4-FFF2-40B4-BE49-F238E27FC236}">
                  <a16:creationId xmlns:a16="http://schemas.microsoft.com/office/drawing/2014/main" id="{00000000-0008-0000-0100-00000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0</xdr:rowOff>
        </xdr:from>
        <xdr:to>
          <xdr:col>5</xdr:col>
          <xdr:colOff>0</xdr:colOff>
          <xdr:row>105</xdr:row>
          <xdr:rowOff>0</xdr:rowOff>
        </xdr:to>
        <xdr:sp macro="" textlink="">
          <xdr:nvSpPr>
            <xdr:cNvPr id="3848" name="Group Box 776" hidden="1">
              <a:extLst>
                <a:ext uri="{63B3BB69-23CF-44E3-9099-C40C66FF867C}">
                  <a14:compatExt spid="_x0000_s3848"/>
                </a:ext>
                <a:ext uri="{FF2B5EF4-FFF2-40B4-BE49-F238E27FC236}">
                  <a16:creationId xmlns:a16="http://schemas.microsoft.com/office/drawing/2014/main" id="{00000000-0008-0000-0100-00000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5</xdr:col>
          <xdr:colOff>0</xdr:colOff>
          <xdr:row>106</xdr:row>
          <xdr:rowOff>0</xdr:rowOff>
        </xdr:to>
        <xdr:sp macro="" textlink="">
          <xdr:nvSpPr>
            <xdr:cNvPr id="3849" name="Group Box 777" hidden="1">
              <a:extLst>
                <a:ext uri="{63B3BB69-23CF-44E3-9099-C40C66FF867C}">
                  <a14:compatExt spid="_x0000_s3849"/>
                </a:ext>
                <a:ext uri="{FF2B5EF4-FFF2-40B4-BE49-F238E27FC236}">
                  <a16:creationId xmlns:a16="http://schemas.microsoft.com/office/drawing/2014/main" id="{00000000-0008-0000-0100-00000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5</xdr:col>
          <xdr:colOff>0</xdr:colOff>
          <xdr:row>107</xdr:row>
          <xdr:rowOff>0</xdr:rowOff>
        </xdr:to>
        <xdr:sp macro="" textlink="">
          <xdr:nvSpPr>
            <xdr:cNvPr id="3850" name="Group Box 778" hidden="1">
              <a:extLst>
                <a:ext uri="{63B3BB69-23CF-44E3-9099-C40C66FF867C}">
                  <a14:compatExt spid="_x0000_s3850"/>
                </a:ext>
                <a:ext uri="{FF2B5EF4-FFF2-40B4-BE49-F238E27FC236}">
                  <a16:creationId xmlns:a16="http://schemas.microsoft.com/office/drawing/2014/main" id="{00000000-0008-0000-0100-00000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5</xdr:col>
          <xdr:colOff>0</xdr:colOff>
          <xdr:row>108</xdr:row>
          <xdr:rowOff>0</xdr:rowOff>
        </xdr:to>
        <xdr:sp macro="" textlink="">
          <xdr:nvSpPr>
            <xdr:cNvPr id="3851" name="Group Box 779" hidden="1">
              <a:extLst>
                <a:ext uri="{63B3BB69-23CF-44E3-9099-C40C66FF867C}">
                  <a14:compatExt spid="_x0000_s3851"/>
                </a:ext>
                <a:ext uri="{FF2B5EF4-FFF2-40B4-BE49-F238E27FC236}">
                  <a16:creationId xmlns:a16="http://schemas.microsoft.com/office/drawing/2014/main" id="{00000000-0008-0000-0100-00000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5</xdr:col>
          <xdr:colOff>0</xdr:colOff>
          <xdr:row>108</xdr:row>
          <xdr:rowOff>0</xdr:rowOff>
        </xdr:to>
        <xdr:sp macro="" textlink="">
          <xdr:nvSpPr>
            <xdr:cNvPr id="3857" name="Group Box 785" hidden="1">
              <a:extLst>
                <a:ext uri="{63B3BB69-23CF-44E3-9099-C40C66FF867C}">
                  <a14:compatExt spid="_x0000_s3857"/>
                </a:ext>
                <a:ext uri="{FF2B5EF4-FFF2-40B4-BE49-F238E27FC236}">
                  <a16:creationId xmlns:a16="http://schemas.microsoft.com/office/drawing/2014/main" id="{00000000-0008-0000-0100-00001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108</xdr:row>
          <xdr:rowOff>0</xdr:rowOff>
        </xdr:from>
        <xdr:to>
          <xdr:col>5</xdr:col>
          <xdr:colOff>0</xdr:colOff>
          <xdr:row>109</xdr:row>
          <xdr:rowOff>0</xdr:rowOff>
        </xdr:to>
        <xdr:sp macro="" textlink="">
          <xdr:nvSpPr>
            <xdr:cNvPr id="3858" name="Group Box 786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00000000-0008-0000-01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5</xdr:col>
          <xdr:colOff>0</xdr:colOff>
          <xdr:row>110</xdr:row>
          <xdr:rowOff>0</xdr:rowOff>
        </xdr:to>
        <xdr:sp macro="" textlink="">
          <xdr:nvSpPr>
            <xdr:cNvPr id="3859" name="Group Box 787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00000000-0008-0000-01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111</xdr:row>
          <xdr:rowOff>0</xdr:rowOff>
        </xdr:from>
        <xdr:to>
          <xdr:col>5</xdr:col>
          <xdr:colOff>0</xdr:colOff>
          <xdr:row>112</xdr:row>
          <xdr:rowOff>0</xdr:rowOff>
        </xdr:to>
        <xdr:sp macro="" textlink="">
          <xdr:nvSpPr>
            <xdr:cNvPr id="3868" name="Group Box 796" hidden="1">
              <a:extLst>
                <a:ext uri="{63B3BB69-23CF-44E3-9099-C40C66FF867C}">
                  <a14:compatExt spid="_x0000_s3868"/>
                </a:ext>
                <a:ext uri="{FF2B5EF4-FFF2-40B4-BE49-F238E27FC236}">
                  <a16:creationId xmlns:a16="http://schemas.microsoft.com/office/drawing/2014/main" id="{00000000-0008-0000-0100-00001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110</xdr:row>
          <xdr:rowOff>0</xdr:rowOff>
        </xdr:from>
        <xdr:to>
          <xdr:col>5</xdr:col>
          <xdr:colOff>0</xdr:colOff>
          <xdr:row>111</xdr:row>
          <xdr:rowOff>0</xdr:rowOff>
        </xdr:to>
        <xdr:sp macro="" textlink="">
          <xdr:nvSpPr>
            <xdr:cNvPr id="3869" name="Group Box 797" hidden="1">
              <a:extLst>
                <a:ext uri="{63B3BB69-23CF-44E3-9099-C40C66FF867C}">
                  <a14:compatExt spid="_x0000_s3869"/>
                </a:ext>
                <a:ext uri="{FF2B5EF4-FFF2-40B4-BE49-F238E27FC236}">
                  <a16:creationId xmlns:a16="http://schemas.microsoft.com/office/drawing/2014/main" id="{00000000-0008-0000-0100-00001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100</xdr:row>
          <xdr:rowOff>0</xdr:rowOff>
        </xdr:from>
        <xdr:to>
          <xdr:col>3</xdr:col>
          <xdr:colOff>0</xdr:colOff>
          <xdr:row>101</xdr:row>
          <xdr:rowOff>0</xdr:rowOff>
        </xdr:to>
        <xdr:sp macro="" textlink="">
          <xdr:nvSpPr>
            <xdr:cNvPr id="3876" name="Option Button 804" hidden="1">
              <a:extLst>
                <a:ext uri="{63B3BB69-23CF-44E3-9099-C40C66FF867C}">
                  <a14:compatExt spid="_x0000_s3876"/>
                </a:ext>
                <a:ext uri="{FF2B5EF4-FFF2-40B4-BE49-F238E27FC236}">
                  <a16:creationId xmlns:a16="http://schemas.microsoft.com/office/drawing/2014/main" id="{00000000-0008-0000-0100-00002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3877" name="Option Button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1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100</xdr:row>
          <xdr:rowOff>0</xdr:rowOff>
        </xdr:from>
        <xdr:to>
          <xdr:col>5</xdr:col>
          <xdr:colOff>0</xdr:colOff>
          <xdr:row>101</xdr:row>
          <xdr:rowOff>0</xdr:rowOff>
        </xdr:to>
        <xdr:sp macro="" textlink="">
          <xdr:nvSpPr>
            <xdr:cNvPr id="3878" name="Option Button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1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102</xdr:row>
          <xdr:rowOff>0</xdr:rowOff>
        </xdr:from>
        <xdr:to>
          <xdr:col>5</xdr:col>
          <xdr:colOff>0</xdr:colOff>
          <xdr:row>103</xdr:row>
          <xdr:rowOff>0</xdr:rowOff>
        </xdr:to>
        <xdr:sp macro="" textlink="">
          <xdr:nvSpPr>
            <xdr:cNvPr id="3887" name="Option Button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1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103</xdr:row>
          <xdr:rowOff>0</xdr:rowOff>
        </xdr:from>
        <xdr:to>
          <xdr:col>3</xdr:col>
          <xdr:colOff>0</xdr:colOff>
          <xdr:row>104</xdr:row>
          <xdr:rowOff>0</xdr:rowOff>
        </xdr:to>
        <xdr:sp macro="" textlink="">
          <xdr:nvSpPr>
            <xdr:cNvPr id="3901" name="Option Button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1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3902" name="Option Button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1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103</xdr:row>
          <xdr:rowOff>0</xdr:rowOff>
        </xdr:from>
        <xdr:to>
          <xdr:col>5</xdr:col>
          <xdr:colOff>0</xdr:colOff>
          <xdr:row>104</xdr:row>
          <xdr:rowOff>0</xdr:rowOff>
        </xdr:to>
        <xdr:sp macro="" textlink="">
          <xdr:nvSpPr>
            <xdr:cNvPr id="3903" name="Option Button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1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104</xdr:row>
          <xdr:rowOff>0</xdr:rowOff>
        </xdr:from>
        <xdr:to>
          <xdr:col>3</xdr:col>
          <xdr:colOff>0</xdr:colOff>
          <xdr:row>105</xdr:row>
          <xdr:rowOff>0</xdr:rowOff>
        </xdr:to>
        <xdr:sp macro="" textlink="">
          <xdr:nvSpPr>
            <xdr:cNvPr id="3905" name="Option Button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1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3906" name="Option Button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1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104</xdr:row>
          <xdr:rowOff>0</xdr:rowOff>
        </xdr:from>
        <xdr:to>
          <xdr:col>5</xdr:col>
          <xdr:colOff>0</xdr:colOff>
          <xdr:row>105</xdr:row>
          <xdr:rowOff>0</xdr:rowOff>
        </xdr:to>
        <xdr:sp macro="" textlink="">
          <xdr:nvSpPr>
            <xdr:cNvPr id="3907" name="Option Button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1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105</xdr:row>
          <xdr:rowOff>0</xdr:rowOff>
        </xdr:from>
        <xdr:to>
          <xdr:col>3</xdr:col>
          <xdr:colOff>0</xdr:colOff>
          <xdr:row>106</xdr:row>
          <xdr:rowOff>0</xdr:rowOff>
        </xdr:to>
        <xdr:sp macro="" textlink="">
          <xdr:nvSpPr>
            <xdr:cNvPr id="3909" name="Option Button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1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3910" name="Option Button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1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105</xdr:row>
          <xdr:rowOff>0</xdr:rowOff>
        </xdr:from>
        <xdr:to>
          <xdr:col>5</xdr:col>
          <xdr:colOff>0</xdr:colOff>
          <xdr:row>106</xdr:row>
          <xdr:rowOff>0</xdr:rowOff>
        </xdr:to>
        <xdr:sp macro="" textlink="">
          <xdr:nvSpPr>
            <xdr:cNvPr id="3911" name="Option Button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1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106</xdr:row>
          <xdr:rowOff>0</xdr:rowOff>
        </xdr:from>
        <xdr:to>
          <xdr:col>3</xdr:col>
          <xdr:colOff>0</xdr:colOff>
          <xdr:row>107</xdr:row>
          <xdr:rowOff>0</xdr:rowOff>
        </xdr:to>
        <xdr:sp macro="" textlink="">
          <xdr:nvSpPr>
            <xdr:cNvPr id="3913" name="Option Button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1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3914" name="Option Button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1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106</xdr:row>
          <xdr:rowOff>0</xdr:rowOff>
        </xdr:from>
        <xdr:to>
          <xdr:col>5</xdr:col>
          <xdr:colOff>0</xdr:colOff>
          <xdr:row>107</xdr:row>
          <xdr:rowOff>0</xdr:rowOff>
        </xdr:to>
        <xdr:sp macro="" textlink="">
          <xdr:nvSpPr>
            <xdr:cNvPr id="3915" name="Option Button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1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107</xdr:row>
          <xdr:rowOff>0</xdr:rowOff>
        </xdr:from>
        <xdr:to>
          <xdr:col>5</xdr:col>
          <xdr:colOff>0</xdr:colOff>
          <xdr:row>108</xdr:row>
          <xdr:rowOff>0</xdr:rowOff>
        </xdr:to>
        <xdr:sp macro="" textlink="">
          <xdr:nvSpPr>
            <xdr:cNvPr id="3919" name="Option Button 847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00000000-0008-0000-01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108</xdr:row>
          <xdr:rowOff>0</xdr:rowOff>
        </xdr:from>
        <xdr:to>
          <xdr:col>3</xdr:col>
          <xdr:colOff>0</xdr:colOff>
          <xdr:row>109</xdr:row>
          <xdr:rowOff>0</xdr:rowOff>
        </xdr:to>
        <xdr:sp macro="" textlink="">
          <xdr:nvSpPr>
            <xdr:cNvPr id="3945" name="Option Button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1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3946" name="Option Button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1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108</xdr:row>
          <xdr:rowOff>0</xdr:rowOff>
        </xdr:from>
        <xdr:to>
          <xdr:col>5</xdr:col>
          <xdr:colOff>0</xdr:colOff>
          <xdr:row>109</xdr:row>
          <xdr:rowOff>0</xdr:rowOff>
        </xdr:to>
        <xdr:sp macro="" textlink="">
          <xdr:nvSpPr>
            <xdr:cNvPr id="3947" name="Option Button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1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109</xdr:row>
          <xdr:rowOff>0</xdr:rowOff>
        </xdr:from>
        <xdr:to>
          <xdr:col>3</xdr:col>
          <xdr:colOff>0</xdr:colOff>
          <xdr:row>110</xdr:row>
          <xdr:rowOff>0</xdr:rowOff>
        </xdr:to>
        <xdr:sp macro="" textlink="">
          <xdr:nvSpPr>
            <xdr:cNvPr id="3949" name="Option Button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1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3950" name="Option Button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1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109</xdr:row>
          <xdr:rowOff>0</xdr:rowOff>
        </xdr:from>
        <xdr:to>
          <xdr:col>5</xdr:col>
          <xdr:colOff>0</xdr:colOff>
          <xdr:row>110</xdr:row>
          <xdr:rowOff>0</xdr:rowOff>
        </xdr:to>
        <xdr:sp macro="" textlink="">
          <xdr:nvSpPr>
            <xdr:cNvPr id="3951" name="Option Button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1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110</xdr:row>
          <xdr:rowOff>0</xdr:rowOff>
        </xdr:from>
        <xdr:to>
          <xdr:col>3</xdr:col>
          <xdr:colOff>0</xdr:colOff>
          <xdr:row>111</xdr:row>
          <xdr:rowOff>0</xdr:rowOff>
        </xdr:to>
        <xdr:sp macro="" textlink="">
          <xdr:nvSpPr>
            <xdr:cNvPr id="3953" name="Option Button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1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3954" name="Option Button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1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110</xdr:row>
          <xdr:rowOff>0</xdr:rowOff>
        </xdr:from>
        <xdr:to>
          <xdr:col>5</xdr:col>
          <xdr:colOff>0</xdr:colOff>
          <xdr:row>111</xdr:row>
          <xdr:rowOff>0</xdr:rowOff>
        </xdr:to>
        <xdr:sp macro="" textlink="">
          <xdr:nvSpPr>
            <xdr:cNvPr id="3955" name="Option Button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1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0</xdr:rowOff>
        </xdr:from>
        <xdr:to>
          <xdr:col>3</xdr:col>
          <xdr:colOff>0</xdr:colOff>
          <xdr:row>112</xdr:row>
          <xdr:rowOff>0</xdr:rowOff>
        </xdr:to>
        <xdr:sp macro="" textlink="">
          <xdr:nvSpPr>
            <xdr:cNvPr id="3957" name="Option Button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1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3958" name="Option Button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1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0</xdr:rowOff>
        </xdr:from>
        <xdr:to>
          <xdr:col>5</xdr:col>
          <xdr:colOff>0</xdr:colOff>
          <xdr:row>112</xdr:row>
          <xdr:rowOff>0</xdr:rowOff>
        </xdr:to>
        <xdr:sp macro="" textlink="">
          <xdr:nvSpPr>
            <xdr:cNvPr id="3959" name="Option Button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1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17616" name="Group Box 1232" hidden="1">
              <a:extLst>
                <a:ext uri="{63B3BB69-23CF-44E3-9099-C40C66FF867C}">
                  <a14:compatExt spid="_x0000_s17616"/>
                </a:ext>
                <a:ext uri="{FF2B5EF4-FFF2-40B4-BE49-F238E27FC236}">
                  <a16:creationId xmlns:a16="http://schemas.microsoft.com/office/drawing/2014/main" id="{00000000-0008-0000-0100-0000D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17617" name="Option Button 1233" hidden="1">
              <a:extLst>
                <a:ext uri="{63B3BB69-23CF-44E3-9099-C40C66FF867C}">
                  <a14:compatExt spid="_x0000_s17617"/>
                </a:ext>
                <a:ext uri="{FF2B5EF4-FFF2-40B4-BE49-F238E27FC236}">
                  <a16:creationId xmlns:a16="http://schemas.microsoft.com/office/drawing/2014/main" id="{00000000-0008-0000-0100-0000D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17618" name="Option Button 1234" hidden="1">
              <a:extLst>
                <a:ext uri="{63B3BB69-23CF-44E3-9099-C40C66FF867C}">
                  <a14:compatExt spid="_x0000_s17618"/>
                </a:ext>
                <a:ext uri="{FF2B5EF4-FFF2-40B4-BE49-F238E27FC236}">
                  <a16:creationId xmlns:a16="http://schemas.microsoft.com/office/drawing/2014/main" id="{00000000-0008-0000-0100-0000D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17619" name="Option Button 1235" hidden="1">
              <a:extLst>
                <a:ext uri="{63B3BB69-23CF-44E3-9099-C40C66FF867C}">
                  <a14:compatExt spid="_x0000_s17619"/>
                </a:ext>
                <a:ext uri="{FF2B5EF4-FFF2-40B4-BE49-F238E27FC236}">
                  <a16:creationId xmlns:a16="http://schemas.microsoft.com/office/drawing/2014/main" id="{00000000-0008-0000-0100-0000D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0</xdr:rowOff>
        </xdr:from>
        <xdr:to>
          <xdr:col>5</xdr:col>
          <xdr:colOff>0</xdr:colOff>
          <xdr:row>59</xdr:row>
          <xdr:rowOff>0</xdr:rowOff>
        </xdr:to>
        <xdr:sp macro="" textlink="">
          <xdr:nvSpPr>
            <xdr:cNvPr id="17620" name="Group Box 1236" hidden="1">
              <a:extLst>
                <a:ext uri="{63B3BB69-23CF-44E3-9099-C40C66FF867C}">
                  <a14:compatExt spid="_x0000_s17620"/>
                </a:ext>
                <a:ext uri="{FF2B5EF4-FFF2-40B4-BE49-F238E27FC236}">
                  <a16:creationId xmlns:a16="http://schemas.microsoft.com/office/drawing/2014/main" id="{00000000-0008-0000-0100-0000D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7621" name="Option Button 1237" hidden="1">
              <a:extLst>
                <a:ext uri="{63B3BB69-23CF-44E3-9099-C40C66FF867C}">
                  <a14:compatExt spid="_x0000_s17621"/>
                </a:ext>
                <a:ext uri="{FF2B5EF4-FFF2-40B4-BE49-F238E27FC236}">
                  <a16:creationId xmlns:a16="http://schemas.microsoft.com/office/drawing/2014/main" id="{00000000-0008-0000-0100-0000D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17622" name="Option Button 1238" hidden="1">
              <a:extLst>
                <a:ext uri="{63B3BB69-23CF-44E3-9099-C40C66FF867C}">
                  <a14:compatExt spid="_x0000_s17622"/>
                </a:ext>
                <a:ext uri="{FF2B5EF4-FFF2-40B4-BE49-F238E27FC236}">
                  <a16:creationId xmlns:a16="http://schemas.microsoft.com/office/drawing/2014/main" id="{00000000-0008-0000-0100-0000D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58</xdr:row>
          <xdr:rowOff>0</xdr:rowOff>
        </xdr:from>
        <xdr:to>
          <xdr:col>5</xdr:col>
          <xdr:colOff>0</xdr:colOff>
          <xdr:row>59</xdr:row>
          <xdr:rowOff>0</xdr:rowOff>
        </xdr:to>
        <xdr:sp macro="" textlink="">
          <xdr:nvSpPr>
            <xdr:cNvPr id="17623" name="Option Button 1239" hidden="1">
              <a:extLst>
                <a:ext uri="{63B3BB69-23CF-44E3-9099-C40C66FF867C}">
                  <a14:compatExt spid="_x0000_s17623"/>
                </a:ext>
                <a:ext uri="{FF2B5EF4-FFF2-40B4-BE49-F238E27FC236}">
                  <a16:creationId xmlns:a16="http://schemas.microsoft.com/office/drawing/2014/main" id="{00000000-0008-0000-0100-0000D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5</xdr:col>
          <xdr:colOff>0</xdr:colOff>
          <xdr:row>68</xdr:row>
          <xdr:rowOff>0</xdr:rowOff>
        </xdr:to>
        <xdr:sp macro="" textlink="">
          <xdr:nvSpPr>
            <xdr:cNvPr id="17644" name="Group Box 1260" hidden="1">
              <a:extLst>
                <a:ext uri="{63B3BB69-23CF-44E3-9099-C40C66FF867C}">
                  <a14:compatExt spid="_x0000_s17644"/>
                </a:ext>
                <a:ext uri="{FF2B5EF4-FFF2-40B4-BE49-F238E27FC236}">
                  <a16:creationId xmlns:a16="http://schemas.microsoft.com/office/drawing/2014/main" id="{00000000-0008-0000-0100-0000E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17645" name="Option Button 1261" hidden="1">
              <a:extLst>
                <a:ext uri="{63B3BB69-23CF-44E3-9099-C40C66FF867C}">
                  <a14:compatExt spid="_x0000_s17645"/>
                </a:ext>
                <a:ext uri="{FF2B5EF4-FFF2-40B4-BE49-F238E27FC236}">
                  <a16:creationId xmlns:a16="http://schemas.microsoft.com/office/drawing/2014/main" id="{00000000-0008-0000-0100-0000E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17646" name="Option Button 1262" hidden="1">
              <a:extLst>
                <a:ext uri="{63B3BB69-23CF-44E3-9099-C40C66FF867C}">
                  <a14:compatExt spid="_x0000_s17646"/>
                </a:ext>
                <a:ext uri="{FF2B5EF4-FFF2-40B4-BE49-F238E27FC236}">
                  <a16:creationId xmlns:a16="http://schemas.microsoft.com/office/drawing/2014/main" id="{00000000-0008-0000-0100-0000E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67</xdr:row>
          <xdr:rowOff>0</xdr:rowOff>
        </xdr:from>
        <xdr:to>
          <xdr:col>5</xdr:col>
          <xdr:colOff>0</xdr:colOff>
          <xdr:row>68</xdr:row>
          <xdr:rowOff>0</xdr:rowOff>
        </xdr:to>
        <xdr:sp macro="" textlink="">
          <xdr:nvSpPr>
            <xdr:cNvPr id="17647" name="Option Button 1263" hidden="1">
              <a:extLst>
                <a:ext uri="{63B3BB69-23CF-44E3-9099-C40C66FF867C}">
                  <a14:compatExt spid="_x0000_s17647"/>
                </a:ext>
                <a:ext uri="{FF2B5EF4-FFF2-40B4-BE49-F238E27FC236}">
                  <a16:creationId xmlns:a16="http://schemas.microsoft.com/office/drawing/2014/main" id="{00000000-0008-0000-0100-0000E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101</xdr:row>
          <xdr:rowOff>0</xdr:rowOff>
        </xdr:from>
        <xdr:to>
          <xdr:col>5</xdr:col>
          <xdr:colOff>0</xdr:colOff>
          <xdr:row>102</xdr:row>
          <xdr:rowOff>0</xdr:rowOff>
        </xdr:to>
        <xdr:sp macro="" textlink="">
          <xdr:nvSpPr>
            <xdr:cNvPr id="17652" name="Group Box 1268" hidden="1">
              <a:extLst>
                <a:ext uri="{63B3BB69-23CF-44E3-9099-C40C66FF867C}">
                  <a14:compatExt spid="_x0000_s17652"/>
                </a:ext>
                <a:ext uri="{FF2B5EF4-FFF2-40B4-BE49-F238E27FC236}">
                  <a16:creationId xmlns:a16="http://schemas.microsoft.com/office/drawing/2014/main" id="{00000000-0008-0000-0100-0000F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101</xdr:row>
          <xdr:rowOff>0</xdr:rowOff>
        </xdr:from>
        <xdr:to>
          <xdr:col>3</xdr:col>
          <xdr:colOff>0</xdr:colOff>
          <xdr:row>102</xdr:row>
          <xdr:rowOff>0</xdr:rowOff>
        </xdr:to>
        <xdr:sp macro="" textlink="">
          <xdr:nvSpPr>
            <xdr:cNvPr id="17653" name="Option Button 1269" hidden="1">
              <a:extLst>
                <a:ext uri="{63B3BB69-23CF-44E3-9099-C40C66FF867C}">
                  <a14:compatExt spid="_x0000_s17653"/>
                </a:ext>
                <a:ext uri="{FF2B5EF4-FFF2-40B4-BE49-F238E27FC236}">
                  <a16:creationId xmlns:a16="http://schemas.microsoft.com/office/drawing/2014/main" id="{00000000-0008-0000-0100-0000F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17654" name="Option Button 1270" hidden="1">
              <a:extLst>
                <a:ext uri="{63B3BB69-23CF-44E3-9099-C40C66FF867C}">
                  <a14:compatExt spid="_x0000_s17654"/>
                </a:ext>
                <a:ext uri="{FF2B5EF4-FFF2-40B4-BE49-F238E27FC236}">
                  <a16:creationId xmlns:a16="http://schemas.microsoft.com/office/drawing/2014/main" id="{00000000-0008-0000-0100-0000F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101</xdr:row>
          <xdr:rowOff>0</xdr:rowOff>
        </xdr:from>
        <xdr:to>
          <xdr:col>5</xdr:col>
          <xdr:colOff>0</xdr:colOff>
          <xdr:row>102</xdr:row>
          <xdr:rowOff>0</xdr:rowOff>
        </xdr:to>
        <xdr:sp macro="" textlink="">
          <xdr:nvSpPr>
            <xdr:cNvPr id="17655" name="Option Button 1271" hidden="1">
              <a:extLst>
                <a:ext uri="{63B3BB69-23CF-44E3-9099-C40C66FF867C}">
                  <a14:compatExt spid="_x0000_s17655"/>
                </a:ext>
                <a:ext uri="{FF2B5EF4-FFF2-40B4-BE49-F238E27FC236}">
                  <a16:creationId xmlns:a16="http://schemas.microsoft.com/office/drawing/2014/main" id="{00000000-0008-0000-0100-0000F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52</xdr:row>
          <xdr:rowOff>7620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7657" name="Option Button 1273" hidden="1">
              <a:extLst>
                <a:ext uri="{63B3BB69-23CF-44E3-9099-C40C66FF867C}">
                  <a14:compatExt spid="_x0000_s17657"/>
                </a:ext>
                <a:ext uri="{FF2B5EF4-FFF2-40B4-BE49-F238E27FC236}">
                  <a16:creationId xmlns:a16="http://schemas.microsoft.com/office/drawing/2014/main" id="{00000000-0008-0000-0100-0000F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17658" name="Group Box 1274" hidden="1">
              <a:extLst>
                <a:ext uri="{63B3BB69-23CF-44E3-9099-C40C66FF867C}">
                  <a14:compatExt spid="_x0000_s17658"/>
                </a:ext>
                <a:ext uri="{FF2B5EF4-FFF2-40B4-BE49-F238E27FC236}">
                  <a16:creationId xmlns:a16="http://schemas.microsoft.com/office/drawing/2014/main" id="{00000000-0008-0000-0100-0000F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7659" name="Group Box 1275" hidden="1">
              <a:extLst>
                <a:ext uri="{63B3BB69-23CF-44E3-9099-C40C66FF867C}">
                  <a14:compatExt spid="_x0000_s17659"/>
                </a:ext>
                <a:ext uri="{FF2B5EF4-FFF2-40B4-BE49-F238E27FC236}">
                  <a16:creationId xmlns:a16="http://schemas.microsoft.com/office/drawing/2014/main" id="{00000000-0008-0000-0100-0000F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5</xdr:col>
          <xdr:colOff>0</xdr:colOff>
          <xdr:row>69</xdr:row>
          <xdr:rowOff>0</xdr:rowOff>
        </xdr:to>
        <xdr:sp macro="" textlink="">
          <xdr:nvSpPr>
            <xdr:cNvPr id="17666" name="Group Box 1282" hidden="1">
              <a:extLst>
                <a:ext uri="{63B3BB69-23CF-44E3-9099-C40C66FF867C}">
                  <a14:compatExt spid="_x0000_s17666"/>
                </a:ext>
                <a:ext uri="{FF2B5EF4-FFF2-40B4-BE49-F238E27FC236}">
                  <a16:creationId xmlns:a16="http://schemas.microsoft.com/office/drawing/2014/main" id="{00000000-0008-0000-0100-00000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68</xdr:row>
          <xdr:rowOff>0</xdr:rowOff>
        </xdr:from>
        <xdr:to>
          <xdr:col>5</xdr:col>
          <xdr:colOff>0</xdr:colOff>
          <xdr:row>69</xdr:row>
          <xdr:rowOff>0</xdr:rowOff>
        </xdr:to>
        <xdr:sp macro="" textlink="">
          <xdr:nvSpPr>
            <xdr:cNvPr id="17667" name="Option Button 1283" hidden="1">
              <a:extLst>
                <a:ext uri="{63B3BB69-23CF-44E3-9099-C40C66FF867C}">
                  <a14:compatExt spid="_x0000_s17667"/>
                </a:ext>
                <a:ext uri="{FF2B5EF4-FFF2-40B4-BE49-F238E27FC236}">
                  <a16:creationId xmlns:a16="http://schemas.microsoft.com/office/drawing/2014/main" id="{00000000-0008-0000-0100-00000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92</xdr:row>
          <xdr:rowOff>0</xdr:rowOff>
        </xdr:from>
        <xdr:to>
          <xdr:col>5</xdr:col>
          <xdr:colOff>0</xdr:colOff>
          <xdr:row>93</xdr:row>
          <xdr:rowOff>0</xdr:rowOff>
        </xdr:to>
        <xdr:sp macro="" textlink="">
          <xdr:nvSpPr>
            <xdr:cNvPr id="17668" name="Group Box 1284" hidden="1">
              <a:extLst>
                <a:ext uri="{63B3BB69-23CF-44E3-9099-C40C66FF867C}">
                  <a14:compatExt spid="_x0000_s17668"/>
                </a:ext>
                <a:ext uri="{FF2B5EF4-FFF2-40B4-BE49-F238E27FC236}">
                  <a16:creationId xmlns:a16="http://schemas.microsoft.com/office/drawing/2014/main" id="{00000000-0008-0000-0100-00000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92</xdr:row>
          <xdr:rowOff>0</xdr:rowOff>
        </xdr:from>
        <xdr:to>
          <xdr:col>3</xdr:col>
          <xdr:colOff>0</xdr:colOff>
          <xdr:row>93</xdr:row>
          <xdr:rowOff>0</xdr:rowOff>
        </xdr:to>
        <xdr:sp macro="" textlink="">
          <xdr:nvSpPr>
            <xdr:cNvPr id="17669" name="Option Button 1285" hidden="1">
              <a:extLst>
                <a:ext uri="{63B3BB69-23CF-44E3-9099-C40C66FF867C}">
                  <a14:compatExt spid="_x0000_s17669"/>
                </a:ext>
                <a:ext uri="{FF2B5EF4-FFF2-40B4-BE49-F238E27FC236}">
                  <a16:creationId xmlns:a16="http://schemas.microsoft.com/office/drawing/2014/main" id="{00000000-0008-0000-0100-00000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17670" name="Option Button 1286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00000000-0008-0000-0100-00000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92</xdr:row>
          <xdr:rowOff>0</xdr:rowOff>
        </xdr:from>
        <xdr:to>
          <xdr:col>5</xdr:col>
          <xdr:colOff>0</xdr:colOff>
          <xdr:row>93</xdr:row>
          <xdr:rowOff>0</xdr:rowOff>
        </xdr:to>
        <xdr:sp macro="" textlink="">
          <xdr:nvSpPr>
            <xdr:cNvPr id="17671" name="Option Button 1287" hidden="1">
              <a:extLst>
                <a:ext uri="{63B3BB69-23CF-44E3-9099-C40C66FF867C}">
                  <a14:compatExt spid="_x0000_s17671"/>
                </a:ext>
                <a:ext uri="{FF2B5EF4-FFF2-40B4-BE49-F238E27FC236}">
                  <a16:creationId xmlns:a16="http://schemas.microsoft.com/office/drawing/2014/main" id="{00000000-0008-0000-0100-00000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79</xdr:row>
          <xdr:rowOff>0</xdr:rowOff>
        </xdr:from>
        <xdr:to>
          <xdr:col>5</xdr:col>
          <xdr:colOff>0</xdr:colOff>
          <xdr:row>80</xdr:row>
          <xdr:rowOff>0</xdr:rowOff>
        </xdr:to>
        <xdr:sp macro="" textlink="">
          <xdr:nvSpPr>
            <xdr:cNvPr id="17673" name="Group Box 1289" hidden="1">
              <a:extLst>
                <a:ext uri="{63B3BB69-23CF-44E3-9099-C40C66FF867C}">
                  <a14:compatExt spid="_x0000_s17673"/>
                </a:ext>
                <a:ext uri="{FF2B5EF4-FFF2-40B4-BE49-F238E27FC236}">
                  <a16:creationId xmlns:a16="http://schemas.microsoft.com/office/drawing/2014/main" id="{00000000-0008-0000-0100-00000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79</xdr:row>
          <xdr:rowOff>0</xdr:rowOff>
        </xdr:from>
        <xdr:to>
          <xdr:col>3</xdr:col>
          <xdr:colOff>0</xdr:colOff>
          <xdr:row>80</xdr:row>
          <xdr:rowOff>0</xdr:rowOff>
        </xdr:to>
        <xdr:sp macro="" textlink="">
          <xdr:nvSpPr>
            <xdr:cNvPr id="17674" name="Option Button 1290" hidden="1">
              <a:extLst>
                <a:ext uri="{63B3BB69-23CF-44E3-9099-C40C66FF867C}">
                  <a14:compatExt spid="_x0000_s17674"/>
                </a:ext>
                <a:ext uri="{FF2B5EF4-FFF2-40B4-BE49-F238E27FC236}">
                  <a16:creationId xmlns:a16="http://schemas.microsoft.com/office/drawing/2014/main" id="{00000000-0008-0000-0100-00000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17675" name="Option Button 1291" hidden="1">
              <a:extLst>
                <a:ext uri="{63B3BB69-23CF-44E3-9099-C40C66FF867C}">
                  <a14:compatExt spid="_x0000_s17675"/>
                </a:ext>
                <a:ext uri="{FF2B5EF4-FFF2-40B4-BE49-F238E27FC236}">
                  <a16:creationId xmlns:a16="http://schemas.microsoft.com/office/drawing/2014/main" id="{00000000-0008-0000-0100-00000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79</xdr:row>
          <xdr:rowOff>0</xdr:rowOff>
        </xdr:from>
        <xdr:to>
          <xdr:col>5</xdr:col>
          <xdr:colOff>0</xdr:colOff>
          <xdr:row>80</xdr:row>
          <xdr:rowOff>0</xdr:rowOff>
        </xdr:to>
        <xdr:sp macro="" textlink="">
          <xdr:nvSpPr>
            <xdr:cNvPr id="17676" name="Option Button 1292" hidden="1">
              <a:extLst>
                <a:ext uri="{63B3BB69-23CF-44E3-9099-C40C66FF867C}">
                  <a14:compatExt spid="_x0000_s17676"/>
                </a:ext>
                <a:ext uri="{FF2B5EF4-FFF2-40B4-BE49-F238E27FC236}">
                  <a16:creationId xmlns:a16="http://schemas.microsoft.com/office/drawing/2014/main" id="{00000000-0008-0000-0100-00000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135</xdr:row>
          <xdr:rowOff>0</xdr:rowOff>
        </xdr:from>
        <xdr:to>
          <xdr:col>7</xdr:col>
          <xdr:colOff>914400</xdr:colOff>
          <xdr:row>137</xdr:row>
          <xdr:rowOff>0</xdr:rowOff>
        </xdr:to>
        <xdr:sp macro="" textlink="">
          <xdr:nvSpPr>
            <xdr:cNvPr id="17678" name="Button 1294" hidden="1">
              <a:extLst>
                <a:ext uri="{63B3BB69-23CF-44E3-9099-C40C66FF867C}">
                  <a14:compatExt spid="_x0000_s17678"/>
                </a:ext>
                <a:ext uri="{FF2B5EF4-FFF2-40B4-BE49-F238E27FC236}">
                  <a16:creationId xmlns:a16="http://schemas.microsoft.com/office/drawing/2014/main" id="{00000000-0008-0000-0100-00000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1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146</xdr:row>
          <xdr:rowOff>0</xdr:rowOff>
        </xdr:from>
        <xdr:to>
          <xdr:col>7</xdr:col>
          <xdr:colOff>914400</xdr:colOff>
          <xdr:row>148</xdr:row>
          <xdr:rowOff>0</xdr:rowOff>
        </xdr:to>
        <xdr:sp macro="" textlink="">
          <xdr:nvSpPr>
            <xdr:cNvPr id="17679" name="Button 1295" hidden="1">
              <a:extLst>
                <a:ext uri="{63B3BB69-23CF-44E3-9099-C40C66FF867C}">
                  <a14:compatExt spid="_x0000_s17679"/>
                </a:ext>
                <a:ext uri="{FF2B5EF4-FFF2-40B4-BE49-F238E27FC236}">
                  <a16:creationId xmlns:a16="http://schemas.microsoft.com/office/drawing/2014/main" id="{00000000-0008-0000-0100-00000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2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157</xdr:row>
          <xdr:rowOff>0</xdr:rowOff>
        </xdr:from>
        <xdr:to>
          <xdr:col>7</xdr:col>
          <xdr:colOff>914400</xdr:colOff>
          <xdr:row>159</xdr:row>
          <xdr:rowOff>0</xdr:rowOff>
        </xdr:to>
        <xdr:sp macro="" textlink="">
          <xdr:nvSpPr>
            <xdr:cNvPr id="17680" name="Button 1296" hidden="1">
              <a:extLst>
                <a:ext uri="{63B3BB69-23CF-44E3-9099-C40C66FF867C}">
                  <a14:compatExt spid="_x0000_s17680"/>
                </a:ext>
                <a:ext uri="{FF2B5EF4-FFF2-40B4-BE49-F238E27FC236}">
                  <a16:creationId xmlns:a16="http://schemas.microsoft.com/office/drawing/2014/main" id="{00000000-0008-0000-0100-00001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3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168</xdr:row>
          <xdr:rowOff>0</xdr:rowOff>
        </xdr:from>
        <xdr:to>
          <xdr:col>7</xdr:col>
          <xdr:colOff>914400</xdr:colOff>
          <xdr:row>170</xdr:row>
          <xdr:rowOff>0</xdr:rowOff>
        </xdr:to>
        <xdr:sp macro="" textlink="">
          <xdr:nvSpPr>
            <xdr:cNvPr id="17681" name="Button 1297" hidden="1">
              <a:extLst>
                <a:ext uri="{63B3BB69-23CF-44E3-9099-C40C66FF867C}">
                  <a14:compatExt spid="_x0000_s17681"/>
                </a:ext>
                <a:ext uri="{FF2B5EF4-FFF2-40B4-BE49-F238E27FC236}">
                  <a16:creationId xmlns:a16="http://schemas.microsoft.com/office/drawing/2014/main" id="{00000000-0008-0000-0100-00001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4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181</xdr:row>
          <xdr:rowOff>0</xdr:rowOff>
        </xdr:from>
        <xdr:to>
          <xdr:col>7</xdr:col>
          <xdr:colOff>914400</xdr:colOff>
          <xdr:row>183</xdr:row>
          <xdr:rowOff>0</xdr:rowOff>
        </xdr:to>
        <xdr:sp macro="" textlink="">
          <xdr:nvSpPr>
            <xdr:cNvPr id="17682" name="Button 1298" hidden="1">
              <a:extLst>
                <a:ext uri="{63B3BB69-23CF-44E3-9099-C40C66FF867C}">
                  <a14:compatExt spid="_x0000_s17682"/>
                </a:ext>
                <a:ext uri="{FF2B5EF4-FFF2-40B4-BE49-F238E27FC236}">
                  <a16:creationId xmlns:a16="http://schemas.microsoft.com/office/drawing/2014/main" id="{00000000-0008-0000-0100-00001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5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192</xdr:row>
          <xdr:rowOff>0</xdr:rowOff>
        </xdr:from>
        <xdr:to>
          <xdr:col>7</xdr:col>
          <xdr:colOff>914400</xdr:colOff>
          <xdr:row>194</xdr:row>
          <xdr:rowOff>0</xdr:rowOff>
        </xdr:to>
        <xdr:sp macro="" textlink="">
          <xdr:nvSpPr>
            <xdr:cNvPr id="17683" name="Button 1299" hidden="1">
              <a:extLst>
                <a:ext uri="{63B3BB69-23CF-44E3-9099-C40C66FF867C}">
                  <a14:compatExt spid="_x0000_s17683"/>
                </a:ext>
                <a:ext uri="{FF2B5EF4-FFF2-40B4-BE49-F238E27FC236}">
                  <a16:creationId xmlns:a16="http://schemas.microsoft.com/office/drawing/2014/main" id="{00000000-0008-0000-0100-00001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6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203</xdr:row>
          <xdr:rowOff>0</xdr:rowOff>
        </xdr:from>
        <xdr:to>
          <xdr:col>7</xdr:col>
          <xdr:colOff>914400</xdr:colOff>
          <xdr:row>205</xdr:row>
          <xdr:rowOff>0</xdr:rowOff>
        </xdr:to>
        <xdr:sp macro="" textlink="">
          <xdr:nvSpPr>
            <xdr:cNvPr id="17685" name="Button 1301" hidden="1">
              <a:extLst>
                <a:ext uri="{63B3BB69-23CF-44E3-9099-C40C66FF867C}">
                  <a14:compatExt spid="_x0000_s17685"/>
                </a:ext>
                <a:ext uri="{FF2B5EF4-FFF2-40B4-BE49-F238E27FC236}">
                  <a16:creationId xmlns:a16="http://schemas.microsoft.com/office/drawing/2014/main" id="{00000000-0008-0000-0100-00001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7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214</xdr:row>
          <xdr:rowOff>0</xdr:rowOff>
        </xdr:from>
        <xdr:to>
          <xdr:col>7</xdr:col>
          <xdr:colOff>914400</xdr:colOff>
          <xdr:row>216</xdr:row>
          <xdr:rowOff>0</xdr:rowOff>
        </xdr:to>
        <xdr:sp macro="" textlink="">
          <xdr:nvSpPr>
            <xdr:cNvPr id="17686" name="Button 1302" hidden="1">
              <a:extLst>
                <a:ext uri="{63B3BB69-23CF-44E3-9099-C40C66FF867C}">
                  <a14:compatExt spid="_x0000_s17686"/>
                </a:ext>
                <a:ext uri="{FF2B5EF4-FFF2-40B4-BE49-F238E27FC236}">
                  <a16:creationId xmlns:a16="http://schemas.microsoft.com/office/drawing/2014/main" id="{00000000-0008-0000-0100-00001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Paste Photo 8</a:t>
              </a:r>
            </a:p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Normal Shape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130</xdr:row>
      <xdr:rowOff>55144</xdr:rowOff>
    </xdr:from>
    <xdr:to>
      <xdr:col>7</xdr:col>
      <xdr:colOff>1077829</xdr:colOff>
      <xdr:row>130</xdr:row>
      <xdr:rowOff>55144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0" y="41443776"/>
          <a:ext cx="6742697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0</xdr:col>
      <xdr:colOff>0</xdr:colOff>
      <xdr:row>177</xdr:row>
      <xdr:rowOff>0</xdr:rowOff>
    </xdr:from>
    <xdr:to>
      <xdr:col>8</xdr:col>
      <xdr:colOff>143</xdr:colOff>
      <xdr:row>177</xdr:row>
      <xdr:rowOff>0</xdr:rowOff>
    </xdr:to>
    <xdr:cxnSp macro="">
      <xdr:nvCxnSpPr>
        <xdr:cNvPr id="404" name="Straight Connector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CxnSpPr/>
      </xdr:nvCxnSpPr>
      <xdr:spPr>
        <a:xfrm>
          <a:off x="0" y="52910014"/>
          <a:ext cx="6749286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807720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7687" name="Button 1303" hidden="1">
              <a:extLst>
                <a:ext uri="{63B3BB69-23CF-44E3-9099-C40C66FF867C}">
                  <a14:compatExt spid="_x0000_s17687"/>
                </a:ext>
                <a:ext uri="{FF2B5EF4-FFF2-40B4-BE49-F238E27FC236}">
                  <a16:creationId xmlns:a16="http://schemas.microsoft.com/office/drawing/2014/main" id="{00000000-0008-0000-0100-00001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Update Customer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17689" name="Group Box 1305" hidden="1">
              <a:extLst>
                <a:ext uri="{63B3BB69-23CF-44E3-9099-C40C66FF867C}">
                  <a14:compatExt spid="_x0000_s17689"/>
                </a:ext>
                <a:ext uri="{FF2B5EF4-FFF2-40B4-BE49-F238E27FC236}">
                  <a16:creationId xmlns:a16="http://schemas.microsoft.com/office/drawing/2014/main" id="{00000000-0008-0000-0100-00001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48</xdr:row>
          <xdr:rowOff>0</xdr:rowOff>
        </xdr:from>
        <xdr:to>
          <xdr:col>3</xdr:col>
          <xdr:colOff>0</xdr:colOff>
          <xdr:row>49</xdr:row>
          <xdr:rowOff>0</xdr:rowOff>
        </xdr:to>
        <xdr:sp macro="" textlink="">
          <xdr:nvSpPr>
            <xdr:cNvPr id="17690" name="Option Button 1306" hidden="1">
              <a:extLst>
                <a:ext uri="{63B3BB69-23CF-44E3-9099-C40C66FF867C}">
                  <a14:compatExt spid="_x0000_s17690"/>
                </a:ext>
                <a:ext uri="{FF2B5EF4-FFF2-40B4-BE49-F238E27FC236}">
                  <a16:creationId xmlns:a16="http://schemas.microsoft.com/office/drawing/2014/main" id="{00000000-0008-0000-0100-00001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17691" name="Option Button 1307" hidden="1">
              <a:extLst>
                <a:ext uri="{63B3BB69-23CF-44E3-9099-C40C66FF867C}">
                  <a14:compatExt spid="_x0000_s17691"/>
                </a:ext>
                <a:ext uri="{FF2B5EF4-FFF2-40B4-BE49-F238E27FC236}">
                  <a16:creationId xmlns:a16="http://schemas.microsoft.com/office/drawing/2014/main" id="{00000000-0008-0000-0100-00001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17692" name="Option Button 1308" hidden="1">
              <a:extLst>
                <a:ext uri="{63B3BB69-23CF-44E3-9099-C40C66FF867C}">
                  <a14:compatExt spid="_x0000_s17692"/>
                </a:ext>
                <a:ext uri="{FF2B5EF4-FFF2-40B4-BE49-F238E27FC236}">
                  <a16:creationId xmlns:a16="http://schemas.microsoft.com/office/drawing/2014/main" id="{00000000-0008-0000-0100-00001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5</xdr:col>
          <xdr:colOff>0</xdr:colOff>
          <xdr:row>50</xdr:row>
          <xdr:rowOff>0</xdr:rowOff>
        </xdr:to>
        <xdr:sp macro="" textlink="">
          <xdr:nvSpPr>
            <xdr:cNvPr id="17697" name="Group Box 1313" hidden="1">
              <a:extLst>
                <a:ext uri="{63B3BB69-23CF-44E3-9099-C40C66FF867C}">
                  <a14:compatExt spid="_x0000_s17697"/>
                </a:ext>
                <a:ext uri="{FF2B5EF4-FFF2-40B4-BE49-F238E27FC236}">
                  <a16:creationId xmlns:a16="http://schemas.microsoft.com/office/drawing/2014/main" id="{00000000-0008-0000-0100-00002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17698" name="Option Button 1314" hidden="1">
              <a:extLst>
                <a:ext uri="{63B3BB69-23CF-44E3-9099-C40C66FF867C}">
                  <a14:compatExt spid="_x0000_s17698"/>
                </a:ext>
                <a:ext uri="{FF2B5EF4-FFF2-40B4-BE49-F238E27FC236}">
                  <a16:creationId xmlns:a16="http://schemas.microsoft.com/office/drawing/2014/main" id="{00000000-0008-0000-0100-00002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17699" name="Option Button 1315" hidden="1">
              <a:extLst>
                <a:ext uri="{63B3BB69-23CF-44E3-9099-C40C66FF867C}">
                  <a14:compatExt spid="_x0000_s17699"/>
                </a:ext>
                <a:ext uri="{FF2B5EF4-FFF2-40B4-BE49-F238E27FC236}">
                  <a16:creationId xmlns:a16="http://schemas.microsoft.com/office/drawing/2014/main" id="{00000000-0008-0000-0100-00002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49</xdr:row>
          <xdr:rowOff>0</xdr:rowOff>
        </xdr:from>
        <xdr:to>
          <xdr:col>5</xdr:col>
          <xdr:colOff>0</xdr:colOff>
          <xdr:row>50</xdr:row>
          <xdr:rowOff>0</xdr:rowOff>
        </xdr:to>
        <xdr:sp macro="" textlink="">
          <xdr:nvSpPr>
            <xdr:cNvPr id="17700" name="Option Button 1316" hidden="1">
              <a:extLst>
                <a:ext uri="{63B3BB69-23CF-44E3-9099-C40C66FF867C}">
                  <a14:compatExt spid="_x0000_s17700"/>
                </a:ext>
                <a:ext uri="{FF2B5EF4-FFF2-40B4-BE49-F238E27FC236}">
                  <a16:creationId xmlns:a16="http://schemas.microsoft.com/office/drawing/2014/main" id="{00000000-0008-0000-0100-00002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2019300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7701" name="Group Box 1317" hidden="1">
              <a:extLst>
                <a:ext uri="{63B3BB69-23CF-44E3-9099-C40C66FF867C}">
                  <a14:compatExt spid="_x0000_s17701"/>
                </a:ext>
                <a:ext uri="{FF2B5EF4-FFF2-40B4-BE49-F238E27FC236}">
                  <a16:creationId xmlns:a16="http://schemas.microsoft.com/office/drawing/2014/main" id="{00000000-0008-0000-0100-00002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7702" name="Option Button 1318" hidden="1">
              <a:extLst>
                <a:ext uri="{63B3BB69-23CF-44E3-9099-C40C66FF867C}">
                  <a14:compatExt spid="_x0000_s17702"/>
                </a:ext>
                <a:ext uri="{FF2B5EF4-FFF2-40B4-BE49-F238E27FC236}">
                  <a16:creationId xmlns:a16="http://schemas.microsoft.com/office/drawing/2014/main" id="{00000000-0008-0000-0100-00002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7705" name="Option Button 1321" hidden="1">
              <a:extLst>
                <a:ext uri="{63B3BB69-23CF-44E3-9099-C40C66FF867C}">
                  <a14:compatExt spid="_x0000_s17705"/>
                </a:ext>
                <a:ext uri="{FF2B5EF4-FFF2-40B4-BE49-F238E27FC236}">
                  <a16:creationId xmlns:a16="http://schemas.microsoft.com/office/drawing/2014/main" id="{00000000-0008-0000-0100-00002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17706" name="Option Button 1322" hidden="1">
              <a:extLst>
                <a:ext uri="{63B3BB69-23CF-44E3-9099-C40C66FF867C}">
                  <a14:compatExt spid="_x0000_s17706"/>
                </a:ext>
                <a:ext uri="{FF2B5EF4-FFF2-40B4-BE49-F238E27FC236}">
                  <a16:creationId xmlns:a16="http://schemas.microsoft.com/office/drawing/2014/main" id="{00000000-0008-0000-0100-00002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55</xdr:row>
          <xdr:rowOff>0</xdr:rowOff>
        </xdr:from>
        <xdr:to>
          <xdr:col>5</xdr:col>
          <xdr:colOff>0</xdr:colOff>
          <xdr:row>56</xdr:row>
          <xdr:rowOff>0</xdr:rowOff>
        </xdr:to>
        <xdr:sp macro="" textlink="">
          <xdr:nvSpPr>
            <xdr:cNvPr id="17707" name="Option Button 1323" hidden="1">
              <a:extLst>
                <a:ext uri="{63B3BB69-23CF-44E3-9099-C40C66FF867C}">
                  <a14:compatExt spid="_x0000_s17707"/>
                </a:ext>
                <a:ext uri="{FF2B5EF4-FFF2-40B4-BE49-F238E27FC236}">
                  <a16:creationId xmlns:a16="http://schemas.microsoft.com/office/drawing/2014/main" id="{00000000-0008-0000-0100-00002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5</xdr:col>
          <xdr:colOff>0</xdr:colOff>
          <xdr:row>56</xdr:row>
          <xdr:rowOff>0</xdr:rowOff>
        </xdr:to>
        <xdr:sp macro="" textlink="">
          <xdr:nvSpPr>
            <xdr:cNvPr id="17708" name="Group Box 1324" hidden="1">
              <a:extLst>
                <a:ext uri="{63B3BB69-23CF-44E3-9099-C40C66FF867C}">
                  <a14:compatExt spid="_x0000_s17708"/>
                </a:ext>
                <a:ext uri="{FF2B5EF4-FFF2-40B4-BE49-F238E27FC236}">
                  <a16:creationId xmlns:a16="http://schemas.microsoft.com/office/drawing/2014/main" id="{00000000-0008-0000-0100-00002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7709" name="Option Button 1325" hidden="1">
              <a:extLst>
                <a:ext uri="{63B3BB69-23CF-44E3-9099-C40C66FF867C}">
                  <a14:compatExt spid="_x0000_s17709"/>
                </a:ext>
                <a:ext uri="{FF2B5EF4-FFF2-40B4-BE49-F238E27FC236}">
                  <a16:creationId xmlns:a16="http://schemas.microsoft.com/office/drawing/2014/main" id="{00000000-0008-0000-0100-00002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17710" name="Option Button 1326" hidden="1">
              <a:extLst>
                <a:ext uri="{63B3BB69-23CF-44E3-9099-C40C66FF867C}">
                  <a14:compatExt spid="_x0000_s17710"/>
                </a:ext>
                <a:ext uri="{FF2B5EF4-FFF2-40B4-BE49-F238E27FC236}">
                  <a16:creationId xmlns:a16="http://schemas.microsoft.com/office/drawing/2014/main" id="{00000000-0008-0000-0100-00002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54</xdr:row>
          <xdr:rowOff>0</xdr:rowOff>
        </xdr:from>
        <xdr:to>
          <xdr:col>5</xdr:col>
          <xdr:colOff>0</xdr:colOff>
          <xdr:row>55</xdr:row>
          <xdr:rowOff>0</xdr:rowOff>
        </xdr:to>
        <xdr:sp macro="" textlink="">
          <xdr:nvSpPr>
            <xdr:cNvPr id="17711" name="Option Button 1327" hidden="1">
              <a:extLst>
                <a:ext uri="{63B3BB69-23CF-44E3-9099-C40C66FF867C}">
                  <a14:compatExt spid="_x0000_s17711"/>
                </a:ext>
                <a:ext uri="{FF2B5EF4-FFF2-40B4-BE49-F238E27FC236}">
                  <a16:creationId xmlns:a16="http://schemas.microsoft.com/office/drawing/2014/main" id="{00000000-0008-0000-0100-00002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5</xdr:col>
          <xdr:colOff>0</xdr:colOff>
          <xdr:row>55</xdr:row>
          <xdr:rowOff>0</xdr:rowOff>
        </xdr:to>
        <xdr:sp macro="" textlink="">
          <xdr:nvSpPr>
            <xdr:cNvPr id="17712" name="Group Box 1328" hidden="1">
              <a:extLst>
                <a:ext uri="{63B3BB69-23CF-44E3-9099-C40C66FF867C}">
                  <a14:compatExt spid="_x0000_s17712"/>
                </a:ext>
                <a:ext uri="{FF2B5EF4-FFF2-40B4-BE49-F238E27FC236}">
                  <a16:creationId xmlns:a16="http://schemas.microsoft.com/office/drawing/2014/main" id="{00000000-0008-0000-0100-00003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0</xdr:rowOff>
        </xdr:from>
        <xdr:to>
          <xdr:col>5</xdr:col>
          <xdr:colOff>0</xdr:colOff>
          <xdr:row>67</xdr:row>
          <xdr:rowOff>0</xdr:rowOff>
        </xdr:to>
        <xdr:sp macro="" textlink="">
          <xdr:nvSpPr>
            <xdr:cNvPr id="17713" name="Group Box 1329" hidden="1">
              <a:extLst>
                <a:ext uri="{63B3BB69-23CF-44E3-9099-C40C66FF867C}">
                  <a14:compatExt spid="_x0000_s17713"/>
                </a:ext>
                <a:ext uri="{FF2B5EF4-FFF2-40B4-BE49-F238E27FC236}">
                  <a16:creationId xmlns:a16="http://schemas.microsoft.com/office/drawing/2014/main" id="{00000000-0008-0000-0100-00003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66</xdr:row>
          <xdr:rowOff>0</xdr:rowOff>
        </xdr:from>
        <xdr:to>
          <xdr:col>3</xdr:col>
          <xdr:colOff>0</xdr:colOff>
          <xdr:row>67</xdr:row>
          <xdr:rowOff>0</xdr:rowOff>
        </xdr:to>
        <xdr:sp macro="" textlink="">
          <xdr:nvSpPr>
            <xdr:cNvPr id="17714" name="Option Button 1330" hidden="1">
              <a:extLst>
                <a:ext uri="{63B3BB69-23CF-44E3-9099-C40C66FF867C}">
                  <a14:compatExt spid="_x0000_s17714"/>
                </a:ext>
                <a:ext uri="{FF2B5EF4-FFF2-40B4-BE49-F238E27FC236}">
                  <a16:creationId xmlns:a16="http://schemas.microsoft.com/office/drawing/2014/main" id="{00000000-0008-0000-0100-00003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17715" name="Option Button 1331" hidden="1">
              <a:extLst>
                <a:ext uri="{63B3BB69-23CF-44E3-9099-C40C66FF867C}">
                  <a14:compatExt spid="_x0000_s17715"/>
                </a:ext>
                <a:ext uri="{FF2B5EF4-FFF2-40B4-BE49-F238E27FC236}">
                  <a16:creationId xmlns:a16="http://schemas.microsoft.com/office/drawing/2014/main" id="{00000000-0008-0000-0100-00003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66</xdr:row>
          <xdr:rowOff>0</xdr:rowOff>
        </xdr:from>
        <xdr:to>
          <xdr:col>5</xdr:col>
          <xdr:colOff>0</xdr:colOff>
          <xdr:row>67</xdr:row>
          <xdr:rowOff>0</xdr:rowOff>
        </xdr:to>
        <xdr:sp macro="" textlink="">
          <xdr:nvSpPr>
            <xdr:cNvPr id="17716" name="Option Button 1332" hidden="1">
              <a:extLst>
                <a:ext uri="{63B3BB69-23CF-44E3-9099-C40C66FF867C}">
                  <a14:compatExt spid="_x0000_s17716"/>
                </a:ext>
                <a:ext uri="{FF2B5EF4-FFF2-40B4-BE49-F238E27FC236}">
                  <a16:creationId xmlns:a16="http://schemas.microsoft.com/office/drawing/2014/main" id="{00000000-0008-0000-0100-00003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5</xdr:col>
          <xdr:colOff>0</xdr:colOff>
          <xdr:row>72</xdr:row>
          <xdr:rowOff>0</xdr:rowOff>
        </xdr:to>
        <xdr:sp macro="" textlink="">
          <xdr:nvSpPr>
            <xdr:cNvPr id="17717" name="Group Box 1333" hidden="1">
              <a:extLst>
                <a:ext uri="{63B3BB69-23CF-44E3-9099-C40C66FF867C}">
                  <a14:compatExt spid="_x0000_s17717"/>
                </a:ext>
                <a:ext uri="{FF2B5EF4-FFF2-40B4-BE49-F238E27FC236}">
                  <a16:creationId xmlns:a16="http://schemas.microsoft.com/office/drawing/2014/main" id="{00000000-0008-0000-0100-00003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71</xdr:row>
          <xdr:rowOff>0</xdr:rowOff>
        </xdr:from>
        <xdr:to>
          <xdr:col>3</xdr:col>
          <xdr:colOff>0</xdr:colOff>
          <xdr:row>72</xdr:row>
          <xdr:rowOff>0</xdr:rowOff>
        </xdr:to>
        <xdr:sp macro="" textlink="">
          <xdr:nvSpPr>
            <xdr:cNvPr id="17718" name="Option Button 1334" hidden="1">
              <a:extLst>
                <a:ext uri="{63B3BB69-23CF-44E3-9099-C40C66FF867C}">
                  <a14:compatExt spid="_x0000_s17718"/>
                </a:ext>
                <a:ext uri="{FF2B5EF4-FFF2-40B4-BE49-F238E27FC236}">
                  <a16:creationId xmlns:a16="http://schemas.microsoft.com/office/drawing/2014/main" id="{00000000-0008-0000-0100-00003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17719" name="Option Button 1335" hidden="1">
              <a:extLst>
                <a:ext uri="{63B3BB69-23CF-44E3-9099-C40C66FF867C}">
                  <a14:compatExt spid="_x0000_s17719"/>
                </a:ext>
                <a:ext uri="{FF2B5EF4-FFF2-40B4-BE49-F238E27FC236}">
                  <a16:creationId xmlns:a16="http://schemas.microsoft.com/office/drawing/2014/main" id="{00000000-0008-0000-0100-00003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71</xdr:row>
          <xdr:rowOff>0</xdr:rowOff>
        </xdr:from>
        <xdr:to>
          <xdr:col>5</xdr:col>
          <xdr:colOff>0</xdr:colOff>
          <xdr:row>72</xdr:row>
          <xdr:rowOff>0</xdr:rowOff>
        </xdr:to>
        <xdr:sp macro="" textlink="">
          <xdr:nvSpPr>
            <xdr:cNvPr id="17720" name="Option Button 1336" hidden="1">
              <a:extLst>
                <a:ext uri="{63B3BB69-23CF-44E3-9099-C40C66FF867C}">
                  <a14:compatExt spid="_x0000_s17720"/>
                </a:ext>
                <a:ext uri="{FF2B5EF4-FFF2-40B4-BE49-F238E27FC236}">
                  <a16:creationId xmlns:a16="http://schemas.microsoft.com/office/drawing/2014/main" id="{00000000-0008-0000-0100-00003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5</xdr:col>
          <xdr:colOff>0</xdr:colOff>
          <xdr:row>78</xdr:row>
          <xdr:rowOff>0</xdr:rowOff>
        </xdr:to>
        <xdr:sp macro="" textlink="">
          <xdr:nvSpPr>
            <xdr:cNvPr id="17721" name="Group Box 1337" hidden="1">
              <a:extLst>
                <a:ext uri="{63B3BB69-23CF-44E3-9099-C40C66FF867C}">
                  <a14:compatExt spid="_x0000_s17721"/>
                </a:ext>
                <a:ext uri="{FF2B5EF4-FFF2-40B4-BE49-F238E27FC236}">
                  <a16:creationId xmlns:a16="http://schemas.microsoft.com/office/drawing/2014/main" id="{00000000-0008-0000-0100-00003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77</xdr:row>
          <xdr:rowOff>0</xdr:rowOff>
        </xdr:from>
        <xdr:to>
          <xdr:col>3</xdr:col>
          <xdr:colOff>0</xdr:colOff>
          <xdr:row>78</xdr:row>
          <xdr:rowOff>0</xdr:rowOff>
        </xdr:to>
        <xdr:sp macro="" textlink="">
          <xdr:nvSpPr>
            <xdr:cNvPr id="17722" name="Option Button 1338" hidden="1">
              <a:extLst>
                <a:ext uri="{63B3BB69-23CF-44E3-9099-C40C66FF867C}">
                  <a14:compatExt spid="_x0000_s17722"/>
                </a:ext>
                <a:ext uri="{FF2B5EF4-FFF2-40B4-BE49-F238E27FC236}">
                  <a16:creationId xmlns:a16="http://schemas.microsoft.com/office/drawing/2014/main" id="{00000000-0008-0000-0100-00003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17723" name="Option Button 1339" hidden="1">
              <a:extLst>
                <a:ext uri="{63B3BB69-23CF-44E3-9099-C40C66FF867C}">
                  <a14:compatExt spid="_x0000_s17723"/>
                </a:ext>
                <a:ext uri="{FF2B5EF4-FFF2-40B4-BE49-F238E27FC236}">
                  <a16:creationId xmlns:a16="http://schemas.microsoft.com/office/drawing/2014/main" id="{00000000-0008-0000-0100-00003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77</xdr:row>
          <xdr:rowOff>0</xdr:rowOff>
        </xdr:from>
        <xdr:to>
          <xdr:col>5</xdr:col>
          <xdr:colOff>0</xdr:colOff>
          <xdr:row>78</xdr:row>
          <xdr:rowOff>0</xdr:rowOff>
        </xdr:to>
        <xdr:sp macro="" textlink="">
          <xdr:nvSpPr>
            <xdr:cNvPr id="17724" name="Option Button 1340" hidden="1">
              <a:extLst>
                <a:ext uri="{63B3BB69-23CF-44E3-9099-C40C66FF867C}">
                  <a14:compatExt spid="_x0000_s17724"/>
                </a:ext>
                <a:ext uri="{FF2B5EF4-FFF2-40B4-BE49-F238E27FC236}">
                  <a16:creationId xmlns:a16="http://schemas.microsoft.com/office/drawing/2014/main" id="{00000000-0008-0000-0100-00003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5</xdr:col>
          <xdr:colOff>0</xdr:colOff>
          <xdr:row>77</xdr:row>
          <xdr:rowOff>0</xdr:rowOff>
        </xdr:to>
        <xdr:sp macro="" textlink="">
          <xdr:nvSpPr>
            <xdr:cNvPr id="17725" name="Group Box 1341" hidden="1">
              <a:extLst>
                <a:ext uri="{63B3BB69-23CF-44E3-9099-C40C66FF867C}">
                  <a14:compatExt spid="_x0000_s17725"/>
                </a:ext>
                <a:ext uri="{FF2B5EF4-FFF2-40B4-BE49-F238E27FC236}">
                  <a16:creationId xmlns:a16="http://schemas.microsoft.com/office/drawing/2014/main" id="{00000000-0008-0000-0100-00003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76</xdr:row>
          <xdr:rowOff>0</xdr:rowOff>
        </xdr:from>
        <xdr:to>
          <xdr:col>3</xdr:col>
          <xdr:colOff>0</xdr:colOff>
          <xdr:row>77</xdr:row>
          <xdr:rowOff>0</xdr:rowOff>
        </xdr:to>
        <xdr:sp macro="" textlink="">
          <xdr:nvSpPr>
            <xdr:cNvPr id="17726" name="Option Button 1342" hidden="1">
              <a:extLst>
                <a:ext uri="{63B3BB69-23CF-44E3-9099-C40C66FF867C}">
                  <a14:compatExt spid="_x0000_s17726"/>
                </a:ext>
                <a:ext uri="{FF2B5EF4-FFF2-40B4-BE49-F238E27FC236}">
                  <a16:creationId xmlns:a16="http://schemas.microsoft.com/office/drawing/2014/main" id="{00000000-0008-0000-0100-00003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17727" name="Option Button 1343" hidden="1">
              <a:extLst>
                <a:ext uri="{63B3BB69-23CF-44E3-9099-C40C66FF867C}">
                  <a14:compatExt spid="_x0000_s17727"/>
                </a:ext>
                <a:ext uri="{FF2B5EF4-FFF2-40B4-BE49-F238E27FC236}">
                  <a16:creationId xmlns:a16="http://schemas.microsoft.com/office/drawing/2014/main" id="{00000000-0008-0000-0100-00003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76</xdr:row>
          <xdr:rowOff>0</xdr:rowOff>
        </xdr:from>
        <xdr:to>
          <xdr:col>5</xdr:col>
          <xdr:colOff>0</xdr:colOff>
          <xdr:row>77</xdr:row>
          <xdr:rowOff>0</xdr:rowOff>
        </xdr:to>
        <xdr:sp macro="" textlink="">
          <xdr:nvSpPr>
            <xdr:cNvPr id="17728" name="Option Button 1344" hidden="1">
              <a:extLst>
                <a:ext uri="{63B3BB69-23CF-44E3-9099-C40C66FF867C}">
                  <a14:compatExt spid="_x0000_s17728"/>
                </a:ext>
                <a:ext uri="{FF2B5EF4-FFF2-40B4-BE49-F238E27FC236}">
                  <a16:creationId xmlns:a16="http://schemas.microsoft.com/office/drawing/2014/main" id="{00000000-0008-0000-0100-00004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5</xdr:col>
          <xdr:colOff>0</xdr:colOff>
          <xdr:row>76</xdr:row>
          <xdr:rowOff>0</xdr:rowOff>
        </xdr:to>
        <xdr:sp macro="" textlink="">
          <xdr:nvSpPr>
            <xdr:cNvPr id="17729" name="Group Box 1345" hidden="1">
              <a:extLst>
                <a:ext uri="{63B3BB69-23CF-44E3-9099-C40C66FF867C}">
                  <a14:compatExt spid="_x0000_s17729"/>
                </a:ext>
                <a:ext uri="{FF2B5EF4-FFF2-40B4-BE49-F238E27FC236}">
                  <a16:creationId xmlns:a16="http://schemas.microsoft.com/office/drawing/2014/main" id="{00000000-0008-0000-0100-00004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75</xdr:row>
          <xdr:rowOff>0</xdr:rowOff>
        </xdr:from>
        <xdr:to>
          <xdr:col>3</xdr:col>
          <xdr:colOff>0</xdr:colOff>
          <xdr:row>76</xdr:row>
          <xdr:rowOff>0</xdr:rowOff>
        </xdr:to>
        <xdr:sp macro="" textlink="">
          <xdr:nvSpPr>
            <xdr:cNvPr id="17730" name="Option Button 1346" hidden="1">
              <a:extLst>
                <a:ext uri="{63B3BB69-23CF-44E3-9099-C40C66FF867C}">
                  <a14:compatExt spid="_x0000_s17730"/>
                </a:ext>
                <a:ext uri="{FF2B5EF4-FFF2-40B4-BE49-F238E27FC236}">
                  <a16:creationId xmlns:a16="http://schemas.microsoft.com/office/drawing/2014/main" id="{00000000-0008-0000-0100-00004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17731" name="Option Button 1347" hidden="1">
              <a:extLst>
                <a:ext uri="{63B3BB69-23CF-44E3-9099-C40C66FF867C}">
                  <a14:compatExt spid="_x0000_s17731"/>
                </a:ext>
                <a:ext uri="{FF2B5EF4-FFF2-40B4-BE49-F238E27FC236}">
                  <a16:creationId xmlns:a16="http://schemas.microsoft.com/office/drawing/2014/main" id="{00000000-0008-0000-0100-00004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75</xdr:row>
          <xdr:rowOff>0</xdr:rowOff>
        </xdr:from>
        <xdr:to>
          <xdr:col>5</xdr:col>
          <xdr:colOff>0</xdr:colOff>
          <xdr:row>76</xdr:row>
          <xdr:rowOff>0</xdr:rowOff>
        </xdr:to>
        <xdr:sp macro="" textlink="">
          <xdr:nvSpPr>
            <xdr:cNvPr id="17732" name="Option Button 1348" hidden="1">
              <a:extLst>
                <a:ext uri="{63B3BB69-23CF-44E3-9099-C40C66FF867C}">
                  <a14:compatExt spid="_x0000_s17732"/>
                </a:ext>
                <a:ext uri="{FF2B5EF4-FFF2-40B4-BE49-F238E27FC236}">
                  <a16:creationId xmlns:a16="http://schemas.microsoft.com/office/drawing/2014/main" id="{00000000-0008-0000-0100-00004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5</xdr:col>
          <xdr:colOff>0</xdr:colOff>
          <xdr:row>75</xdr:row>
          <xdr:rowOff>0</xdr:rowOff>
        </xdr:to>
        <xdr:sp macro="" textlink="">
          <xdr:nvSpPr>
            <xdr:cNvPr id="17733" name="Group Box 1349" hidden="1">
              <a:extLst>
                <a:ext uri="{63B3BB69-23CF-44E3-9099-C40C66FF867C}">
                  <a14:compatExt spid="_x0000_s17733"/>
                </a:ext>
                <a:ext uri="{FF2B5EF4-FFF2-40B4-BE49-F238E27FC236}">
                  <a16:creationId xmlns:a16="http://schemas.microsoft.com/office/drawing/2014/main" id="{00000000-0008-0000-0100-00004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74</xdr:row>
          <xdr:rowOff>0</xdr:rowOff>
        </xdr:from>
        <xdr:to>
          <xdr:col>3</xdr:col>
          <xdr:colOff>0</xdr:colOff>
          <xdr:row>75</xdr:row>
          <xdr:rowOff>0</xdr:rowOff>
        </xdr:to>
        <xdr:sp macro="" textlink="">
          <xdr:nvSpPr>
            <xdr:cNvPr id="17734" name="Option Button 1350" hidden="1">
              <a:extLst>
                <a:ext uri="{63B3BB69-23CF-44E3-9099-C40C66FF867C}">
                  <a14:compatExt spid="_x0000_s17734"/>
                </a:ext>
                <a:ext uri="{FF2B5EF4-FFF2-40B4-BE49-F238E27FC236}">
                  <a16:creationId xmlns:a16="http://schemas.microsoft.com/office/drawing/2014/main" id="{00000000-0008-0000-0100-00004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17735" name="Option Button 1351" hidden="1">
              <a:extLst>
                <a:ext uri="{63B3BB69-23CF-44E3-9099-C40C66FF867C}">
                  <a14:compatExt spid="_x0000_s17735"/>
                </a:ext>
                <a:ext uri="{FF2B5EF4-FFF2-40B4-BE49-F238E27FC236}">
                  <a16:creationId xmlns:a16="http://schemas.microsoft.com/office/drawing/2014/main" id="{00000000-0008-0000-0100-00004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74</xdr:row>
          <xdr:rowOff>0</xdr:rowOff>
        </xdr:from>
        <xdr:to>
          <xdr:col>5</xdr:col>
          <xdr:colOff>0</xdr:colOff>
          <xdr:row>75</xdr:row>
          <xdr:rowOff>0</xdr:rowOff>
        </xdr:to>
        <xdr:sp macro="" textlink="">
          <xdr:nvSpPr>
            <xdr:cNvPr id="17736" name="Option Button 1352" hidden="1">
              <a:extLst>
                <a:ext uri="{63B3BB69-23CF-44E3-9099-C40C66FF867C}">
                  <a14:compatExt spid="_x0000_s17736"/>
                </a:ext>
                <a:ext uri="{FF2B5EF4-FFF2-40B4-BE49-F238E27FC236}">
                  <a16:creationId xmlns:a16="http://schemas.microsoft.com/office/drawing/2014/main" id="{00000000-0008-0000-0100-00004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73</xdr:row>
          <xdr:rowOff>0</xdr:rowOff>
        </xdr:from>
        <xdr:to>
          <xdr:col>5</xdr:col>
          <xdr:colOff>0</xdr:colOff>
          <xdr:row>74</xdr:row>
          <xdr:rowOff>0</xdr:rowOff>
        </xdr:to>
        <xdr:sp macro="" textlink="">
          <xdr:nvSpPr>
            <xdr:cNvPr id="17737" name="Group Box 1353" hidden="1">
              <a:extLst>
                <a:ext uri="{63B3BB69-23CF-44E3-9099-C40C66FF867C}">
                  <a14:compatExt spid="_x0000_s17737"/>
                </a:ext>
                <a:ext uri="{FF2B5EF4-FFF2-40B4-BE49-F238E27FC236}">
                  <a16:creationId xmlns:a16="http://schemas.microsoft.com/office/drawing/2014/main" id="{00000000-0008-0000-0100-00004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73</xdr:row>
          <xdr:rowOff>0</xdr:rowOff>
        </xdr:from>
        <xdr:to>
          <xdr:col>3</xdr:col>
          <xdr:colOff>0</xdr:colOff>
          <xdr:row>74</xdr:row>
          <xdr:rowOff>0</xdr:rowOff>
        </xdr:to>
        <xdr:sp macro="" textlink="">
          <xdr:nvSpPr>
            <xdr:cNvPr id="17738" name="Option Button 1354" hidden="1">
              <a:extLst>
                <a:ext uri="{63B3BB69-23CF-44E3-9099-C40C66FF867C}">
                  <a14:compatExt spid="_x0000_s17738"/>
                </a:ext>
                <a:ext uri="{FF2B5EF4-FFF2-40B4-BE49-F238E27FC236}">
                  <a16:creationId xmlns:a16="http://schemas.microsoft.com/office/drawing/2014/main" id="{00000000-0008-0000-0100-00004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17739" name="Option Button 1355" hidden="1">
              <a:extLst>
                <a:ext uri="{63B3BB69-23CF-44E3-9099-C40C66FF867C}">
                  <a14:compatExt spid="_x0000_s17739"/>
                </a:ext>
                <a:ext uri="{FF2B5EF4-FFF2-40B4-BE49-F238E27FC236}">
                  <a16:creationId xmlns:a16="http://schemas.microsoft.com/office/drawing/2014/main" id="{00000000-0008-0000-0100-00004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73</xdr:row>
          <xdr:rowOff>0</xdr:rowOff>
        </xdr:from>
        <xdr:to>
          <xdr:col>5</xdr:col>
          <xdr:colOff>0</xdr:colOff>
          <xdr:row>74</xdr:row>
          <xdr:rowOff>0</xdr:rowOff>
        </xdr:to>
        <xdr:sp macro="" textlink="">
          <xdr:nvSpPr>
            <xdr:cNvPr id="17740" name="Option Button 1356" hidden="1">
              <a:extLst>
                <a:ext uri="{63B3BB69-23CF-44E3-9099-C40C66FF867C}">
                  <a14:compatExt spid="_x0000_s17740"/>
                </a:ext>
                <a:ext uri="{FF2B5EF4-FFF2-40B4-BE49-F238E27FC236}">
                  <a16:creationId xmlns:a16="http://schemas.microsoft.com/office/drawing/2014/main" id="{00000000-0008-0000-0100-00004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0</xdr:rowOff>
        </xdr:from>
        <xdr:to>
          <xdr:col>5</xdr:col>
          <xdr:colOff>0</xdr:colOff>
          <xdr:row>73</xdr:row>
          <xdr:rowOff>0</xdr:rowOff>
        </xdr:to>
        <xdr:sp macro="" textlink="">
          <xdr:nvSpPr>
            <xdr:cNvPr id="17741" name="Group Box 1357" hidden="1">
              <a:extLst>
                <a:ext uri="{63B3BB69-23CF-44E3-9099-C40C66FF867C}">
                  <a14:compatExt spid="_x0000_s17741"/>
                </a:ext>
                <a:ext uri="{FF2B5EF4-FFF2-40B4-BE49-F238E27FC236}">
                  <a16:creationId xmlns:a16="http://schemas.microsoft.com/office/drawing/2014/main" id="{00000000-0008-0000-0100-00004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72</xdr:row>
          <xdr:rowOff>0</xdr:rowOff>
        </xdr:from>
        <xdr:to>
          <xdr:col>3</xdr:col>
          <xdr:colOff>0</xdr:colOff>
          <xdr:row>73</xdr:row>
          <xdr:rowOff>0</xdr:rowOff>
        </xdr:to>
        <xdr:sp macro="" textlink="">
          <xdr:nvSpPr>
            <xdr:cNvPr id="17742" name="Option Button 1358" hidden="1">
              <a:extLst>
                <a:ext uri="{63B3BB69-23CF-44E3-9099-C40C66FF867C}">
                  <a14:compatExt spid="_x0000_s17742"/>
                </a:ext>
                <a:ext uri="{FF2B5EF4-FFF2-40B4-BE49-F238E27FC236}">
                  <a16:creationId xmlns:a16="http://schemas.microsoft.com/office/drawing/2014/main" id="{00000000-0008-0000-0100-00004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17743" name="Option Button 1359" hidden="1">
              <a:extLst>
                <a:ext uri="{63B3BB69-23CF-44E3-9099-C40C66FF867C}">
                  <a14:compatExt spid="_x0000_s17743"/>
                </a:ext>
                <a:ext uri="{FF2B5EF4-FFF2-40B4-BE49-F238E27FC236}">
                  <a16:creationId xmlns:a16="http://schemas.microsoft.com/office/drawing/2014/main" id="{00000000-0008-0000-0100-00004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72</xdr:row>
          <xdr:rowOff>0</xdr:rowOff>
        </xdr:from>
        <xdr:to>
          <xdr:col>5</xdr:col>
          <xdr:colOff>0</xdr:colOff>
          <xdr:row>73</xdr:row>
          <xdr:rowOff>0</xdr:rowOff>
        </xdr:to>
        <xdr:sp macro="" textlink="">
          <xdr:nvSpPr>
            <xdr:cNvPr id="17744" name="Option Button 1360" hidden="1">
              <a:extLst>
                <a:ext uri="{63B3BB69-23CF-44E3-9099-C40C66FF867C}">
                  <a14:compatExt spid="_x0000_s17744"/>
                </a:ext>
                <a:ext uri="{FF2B5EF4-FFF2-40B4-BE49-F238E27FC236}">
                  <a16:creationId xmlns:a16="http://schemas.microsoft.com/office/drawing/2014/main" id="{00000000-0008-0000-0100-00005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65</xdr:row>
          <xdr:rowOff>0</xdr:rowOff>
        </xdr:from>
        <xdr:to>
          <xdr:col>5</xdr:col>
          <xdr:colOff>0</xdr:colOff>
          <xdr:row>66</xdr:row>
          <xdr:rowOff>0</xdr:rowOff>
        </xdr:to>
        <xdr:sp macro="" textlink="">
          <xdr:nvSpPr>
            <xdr:cNvPr id="17745" name="Group Box 1361" hidden="1">
              <a:extLst>
                <a:ext uri="{63B3BB69-23CF-44E3-9099-C40C66FF867C}">
                  <a14:compatExt spid="_x0000_s17745"/>
                </a:ext>
                <a:ext uri="{FF2B5EF4-FFF2-40B4-BE49-F238E27FC236}">
                  <a16:creationId xmlns:a16="http://schemas.microsoft.com/office/drawing/2014/main" id="{00000000-0008-0000-0100-00005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65</xdr:row>
          <xdr:rowOff>0</xdr:rowOff>
        </xdr:from>
        <xdr:to>
          <xdr:col>3</xdr:col>
          <xdr:colOff>0</xdr:colOff>
          <xdr:row>66</xdr:row>
          <xdr:rowOff>0</xdr:rowOff>
        </xdr:to>
        <xdr:sp macro="" textlink="">
          <xdr:nvSpPr>
            <xdr:cNvPr id="17746" name="Option Button 1362" hidden="1">
              <a:extLst>
                <a:ext uri="{63B3BB69-23CF-44E3-9099-C40C66FF867C}">
                  <a14:compatExt spid="_x0000_s17746"/>
                </a:ext>
                <a:ext uri="{FF2B5EF4-FFF2-40B4-BE49-F238E27FC236}">
                  <a16:creationId xmlns:a16="http://schemas.microsoft.com/office/drawing/2014/main" id="{00000000-0008-0000-0100-00005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17747" name="Option Button 1363" hidden="1">
              <a:extLst>
                <a:ext uri="{63B3BB69-23CF-44E3-9099-C40C66FF867C}">
                  <a14:compatExt spid="_x0000_s17747"/>
                </a:ext>
                <a:ext uri="{FF2B5EF4-FFF2-40B4-BE49-F238E27FC236}">
                  <a16:creationId xmlns:a16="http://schemas.microsoft.com/office/drawing/2014/main" id="{00000000-0008-0000-0100-00005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65</xdr:row>
          <xdr:rowOff>0</xdr:rowOff>
        </xdr:from>
        <xdr:to>
          <xdr:col>5</xdr:col>
          <xdr:colOff>0</xdr:colOff>
          <xdr:row>66</xdr:row>
          <xdr:rowOff>0</xdr:rowOff>
        </xdr:to>
        <xdr:sp macro="" textlink="">
          <xdr:nvSpPr>
            <xdr:cNvPr id="17748" name="Option Button 1364" hidden="1">
              <a:extLst>
                <a:ext uri="{63B3BB69-23CF-44E3-9099-C40C66FF867C}">
                  <a14:compatExt spid="_x0000_s17748"/>
                </a:ext>
                <a:ext uri="{FF2B5EF4-FFF2-40B4-BE49-F238E27FC236}">
                  <a16:creationId xmlns:a16="http://schemas.microsoft.com/office/drawing/2014/main" id="{00000000-0008-0000-0100-00005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0</xdr:rowOff>
        </xdr:from>
        <xdr:to>
          <xdr:col>5</xdr:col>
          <xdr:colOff>0</xdr:colOff>
          <xdr:row>65</xdr:row>
          <xdr:rowOff>0</xdr:rowOff>
        </xdr:to>
        <xdr:sp macro="" textlink="">
          <xdr:nvSpPr>
            <xdr:cNvPr id="17749" name="Group Box 1365" hidden="1">
              <a:extLst>
                <a:ext uri="{63B3BB69-23CF-44E3-9099-C40C66FF867C}">
                  <a14:compatExt spid="_x0000_s17749"/>
                </a:ext>
                <a:ext uri="{FF2B5EF4-FFF2-40B4-BE49-F238E27FC236}">
                  <a16:creationId xmlns:a16="http://schemas.microsoft.com/office/drawing/2014/main" id="{00000000-0008-0000-0100-00005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64</xdr:row>
          <xdr:rowOff>0</xdr:rowOff>
        </xdr:from>
        <xdr:to>
          <xdr:col>3</xdr:col>
          <xdr:colOff>0</xdr:colOff>
          <xdr:row>65</xdr:row>
          <xdr:rowOff>0</xdr:rowOff>
        </xdr:to>
        <xdr:sp macro="" textlink="">
          <xdr:nvSpPr>
            <xdr:cNvPr id="17750" name="Option Button 1366" hidden="1">
              <a:extLst>
                <a:ext uri="{63B3BB69-23CF-44E3-9099-C40C66FF867C}">
                  <a14:compatExt spid="_x0000_s17750"/>
                </a:ext>
                <a:ext uri="{FF2B5EF4-FFF2-40B4-BE49-F238E27FC236}">
                  <a16:creationId xmlns:a16="http://schemas.microsoft.com/office/drawing/2014/main" id="{00000000-0008-0000-0100-00005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17751" name="Option Button 1367" hidden="1">
              <a:extLst>
                <a:ext uri="{63B3BB69-23CF-44E3-9099-C40C66FF867C}">
                  <a14:compatExt spid="_x0000_s17751"/>
                </a:ext>
                <a:ext uri="{FF2B5EF4-FFF2-40B4-BE49-F238E27FC236}">
                  <a16:creationId xmlns:a16="http://schemas.microsoft.com/office/drawing/2014/main" id="{00000000-0008-0000-0100-00005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64</xdr:row>
          <xdr:rowOff>0</xdr:rowOff>
        </xdr:from>
        <xdr:to>
          <xdr:col>5</xdr:col>
          <xdr:colOff>0</xdr:colOff>
          <xdr:row>65</xdr:row>
          <xdr:rowOff>0</xdr:rowOff>
        </xdr:to>
        <xdr:sp macro="" textlink="">
          <xdr:nvSpPr>
            <xdr:cNvPr id="17752" name="Option Button 1368" hidden="1">
              <a:extLst>
                <a:ext uri="{63B3BB69-23CF-44E3-9099-C40C66FF867C}">
                  <a14:compatExt spid="_x0000_s17752"/>
                </a:ext>
                <a:ext uri="{FF2B5EF4-FFF2-40B4-BE49-F238E27FC236}">
                  <a16:creationId xmlns:a16="http://schemas.microsoft.com/office/drawing/2014/main" id="{00000000-0008-0000-0100-00005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5</xdr:col>
          <xdr:colOff>0</xdr:colOff>
          <xdr:row>64</xdr:row>
          <xdr:rowOff>0</xdr:rowOff>
        </xdr:to>
        <xdr:sp macro="" textlink="">
          <xdr:nvSpPr>
            <xdr:cNvPr id="17753" name="Group Box 1369" hidden="1">
              <a:extLst>
                <a:ext uri="{63B3BB69-23CF-44E3-9099-C40C66FF867C}">
                  <a14:compatExt spid="_x0000_s17753"/>
                </a:ext>
                <a:ext uri="{FF2B5EF4-FFF2-40B4-BE49-F238E27FC236}">
                  <a16:creationId xmlns:a16="http://schemas.microsoft.com/office/drawing/2014/main" id="{00000000-0008-0000-0100-00005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63</xdr:row>
          <xdr:rowOff>0</xdr:rowOff>
        </xdr:from>
        <xdr:to>
          <xdr:col>3</xdr:col>
          <xdr:colOff>0</xdr:colOff>
          <xdr:row>64</xdr:row>
          <xdr:rowOff>0</xdr:rowOff>
        </xdr:to>
        <xdr:sp macro="" textlink="">
          <xdr:nvSpPr>
            <xdr:cNvPr id="17754" name="Option Button 1370" hidden="1">
              <a:extLst>
                <a:ext uri="{63B3BB69-23CF-44E3-9099-C40C66FF867C}">
                  <a14:compatExt spid="_x0000_s17754"/>
                </a:ext>
                <a:ext uri="{FF2B5EF4-FFF2-40B4-BE49-F238E27FC236}">
                  <a16:creationId xmlns:a16="http://schemas.microsoft.com/office/drawing/2014/main" id="{00000000-0008-0000-0100-00005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17755" name="Option Button 1371" hidden="1">
              <a:extLst>
                <a:ext uri="{63B3BB69-23CF-44E3-9099-C40C66FF867C}">
                  <a14:compatExt spid="_x0000_s17755"/>
                </a:ext>
                <a:ext uri="{FF2B5EF4-FFF2-40B4-BE49-F238E27FC236}">
                  <a16:creationId xmlns:a16="http://schemas.microsoft.com/office/drawing/2014/main" id="{00000000-0008-0000-0100-00005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63</xdr:row>
          <xdr:rowOff>0</xdr:rowOff>
        </xdr:from>
        <xdr:to>
          <xdr:col>5</xdr:col>
          <xdr:colOff>0</xdr:colOff>
          <xdr:row>64</xdr:row>
          <xdr:rowOff>0</xdr:rowOff>
        </xdr:to>
        <xdr:sp macro="" textlink="">
          <xdr:nvSpPr>
            <xdr:cNvPr id="17756" name="Option Button 1372" hidden="1">
              <a:extLst>
                <a:ext uri="{63B3BB69-23CF-44E3-9099-C40C66FF867C}">
                  <a14:compatExt spid="_x0000_s17756"/>
                </a:ext>
                <a:ext uri="{FF2B5EF4-FFF2-40B4-BE49-F238E27FC236}">
                  <a16:creationId xmlns:a16="http://schemas.microsoft.com/office/drawing/2014/main" id="{00000000-0008-0000-0100-00005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0</xdr:rowOff>
        </xdr:from>
        <xdr:to>
          <xdr:col>5</xdr:col>
          <xdr:colOff>0</xdr:colOff>
          <xdr:row>63</xdr:row>
          <xdr:rowOff>0</xdr:rowOff>
        </xdr:to>
        <xdr:sp macro="" textlink="">
          <xdr:nvSpPr>
            <xdr:cNvPr id="17757" name="Group Box 1373" hidden="1">
              <a:extLst>
                <a:ext uri="{63B3BB69-23CF-44E3-9099-C40C66FF867C}">
                  <a14:compatExt spid="_x0000_s17757"/>
                </a:ext>
                <a:ext uri="{FF2B5EF4-FFF2-40B4-BE49-F238E27FC236}">
                  <a16:creationId xmlns:a16="http://schemas.microsoft.com/office/drawing/2014/main" id="{00000000-0008-0000-0100-00005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62</xdr:row>
          <xdr:rowOff>0</xdr:rowOff>
        </xdr:from>
        <xdr:to>
          <xdr:col>3</xdr:col>
          <xdr:colOff>0</xdr:colOff>
          <xdr:row>63</xdr:row>
          <xdr:rowOff>0</xdr:rowOff>
        </xdr:to>
        <xdr:sp macro="" textlink="">
          <xdr:nvSpPr>
            <xdr:cNvPr id="17758" name="Option Button 1374" hidden="1">
              <a:extLst>
                <a:ext uri="{63B3BB69-23CF-44E3-9099-C40C66FF867C}">
                  <a14:compatExt spid="_x0000_s17758"/>
                </a:ext>
                <a:ext uri="{FF2B5EF4-FFF2-40B4-BE49-F238E27FC236}">
                  <a16:creationId xmlns:a16="http://schemas.microsoft.com/office/drawing/2014/main" id="{00000000-0008-0000-0100-00005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17759" name="Option Button 1375" hidden="1">
              <a:extLst>
                <a:ext uri="{63B3BB69-23CF-44E3-9099-C40C66FF867C}">
                  <a14:compatExt spid="_x0000_s17759"/>
                </a:ext>
                <a:ext uri="{FF2B5EF4-FFF2-40B4-BE49-F238E27FC236}">
                  <a16:creationId xmlns:a16="http://schemas.microsoft.com/office/drawing/2014/main" id="{00000000-0008-0000-0100-00005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62</xdr:row>
          <xdr:rowOff>0</xdr:rowOff>
        </xdr:from>
        <xdr:to>
          <xdr:col>5</xdr:col>
          <xdr:colOff>0</xdr:colOff>
          <xdr:row>63</xdr:row>
          <xdr:rowOff>0</xdr:rowOff>
        </xdr:to>
        <xdr:sp macro="" textlink="">
          <xdr:nvSpPr>
            <xdr:cNvPr id="17760" name="Option Button 1376" hidden="1">
              <a:extLst>
                <a:ext uri="{63B3BB69-23CF-44E3-9099-C40C66FF867C}">
                  <a14:compatExt spid="_x0000_s17760"/>
                </a:ext>
                <a:ext uri="{FF2B5EF4-FFF2-40B4-BE49-F238E27FC236}">
                  <a16:creationId xmlns:a16="http://schemas.microsoft.com/office/drawing/2014/main" id="{00000000-0008-0000-0100-00006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0</xdr:rowOff>
        </xdr:from>
        <xdr:to>
          <xdr:col>5</xdr:col>
          <xdr:colOff>0</xdr:colOff>
          <xdr:row>62</xdr:row>
          <xdr:rowOff>0</xdr:rowOff>
        </xdr:to>
        <xdr:sp macro="" textlink="">
          <xdr:nvSpPr>
            <xdr:cNvPr id="17761" name="Group Box 1377" hidden="1">
              <a:extLst>
                <a:ext uri="{63B3BB69-23CF-44E3-9099-C40C66FF867C}">
                  <a14:compatExt spid="_x0000_s17761"/>
                </a:ext>
                <a:ext uri="{FF2B5EF4-FFF2-40B4-BE49-F238E27FC236}">
                  <a16:creationId xmlns:a16="http://schemas.microsoft.com/office/drawing/2014/main" id="{00000000-0008-0000-0100-00006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17762" name="Option Button 1378" hidden="1">
              <a:extLst>
                <a:ext uri="{63B3BB69-23CF-44E3-9099-C40C66FF867C}">
                  <a14:compatExt spid="_x0000_s17762"/>
                </a:ext>
                <a:ext uri="{FF2B5EF4-FFF2-40B4-BE49-F238E27FC236}">
                  <a16:creationId xmlns:a16="http://schemas.microsoft.com/office/drawing/2014/main" id="{00000000-0008-0000-0100-00006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17763" name="Option Button 1379" hidden="1">
              <a:extLst>
                <a:ext uri="{63B3BB69-23CF-44E3-9099-C40C66FF867C}">
                  <a14:compatExt spid="_x0000_s17763"/>
                </a:ext>
                <a:ext uri="{FF2B5EF4-FFF2-40B4-BE49-F238E27FC236}">
                  <a16:creationId xmlns:a16="http://schemas.microsoft.com/office/drawing/2014/main" id="{00000000-0008-0000-0100-00006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61</xdr:row>
          <xdr:rowOff>0</xdr:rowOff>
        </xdr:from>
        <xdr:to>
          <xdr:col>5</xdr:col>
          <xdr:colOff>0</xdr:colOff>
          <xdr:row>62</xdr:row>
          <xdr:rowOff>0</xdr:rowOff>
        </xdr:to>
        <xdr:sp macro="" textlink="">
          <xdr:nvSpPr>
            <xdr:cNvPr id="17764" name="Option Button 1380" hidden="1">
              <a:extLst>
                <a:ext uri="{63B3BB69-23CF-44E3-9099-C40C66FF867C}">
                  <a14:compatExt spid="_x0000_s17764"/>
                </a:ext>
                <a:ext uri="{FF2B5EF4-FFF2-40B4-BE49-F238E27FC236}">
                  <a16:creationId xmlns:a16="http://schemas.microsoft.com/office/drawing/2014/main" id="{00000000-0008-0000-0100-00006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0</xdr:rowOff>
        </xdr:from>
        <xdr:to>
          <xdr:col>5</xdr:col>
          <xdr:colOff>0</xdr:colOff>
          <xdr:row>61</xdr:row>
          <xdr:rowOff>0</xdr:rowOff>
        </xdr:to>
        <xdr:sp macro="" textlink="">
          <xdr:nvSpPr>
            <xdr:cNvPr id="17765" name="Group Box 1381" hidden="1">
              <a:extLst>
                <a:ext uri="{63B3BB69-23CF-44E3-9099-C40C66FF867C}">
                  <a14:compatExt spid="_x0000_s17765"/>
                </a:ext>
                <a:ext uri="{FF2B5EF4-FFF2-40B4-BE49-F238E27FC236}">
                  <a16:creationId xmlns:a16="http://schemas.microsoft.com/office/drawing/2014/main" id="{00000000-0008-0000-0100-00006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60</xdr:row>
          <xdr:rowOff>0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17766" name="Option Button 1382" hidden="1">
              <a:extLst>
                <a:ext uri="{63B3BB69-23CF-44E3-9099-C40C66FF867C}">
                  <a14:compatExt spid="_x0000_s17766"/>
                </a:ext>
                <a:ext uri="{FF2B5EF4-FFF2-40B4-BE49-F238E27FC236}">
                  <a16:creationId xmlns:a16="http://schemas.microsoft.com/office/drawing/2014/main" id="{00000000-0008-0000-0100-00006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17767" name="Option Button 1383" hidden="1">
              <a:extLst>
                <a:ext uri="{63B3BB69-23CF-44E3-9099-C40C66FF867C}">
                  <a14:compatExt spid="_x0000_s17767"/>
                </a:ext>
                <a:ext uri="{FF2B5EF4-FFF2-40B4-BE49-F238E27FC236}">
                  <a16:creationId xmlns:a16="http://schemas.microsoft.com/office/drawing/2014/main" id="{00000000-0008-0000-0100-00006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5</xdr:col>
          <xdr:colOff>0</xdr:colOff>
          <xdr:row>61</xdr:row>
          <xdr:rowOff>0</xdr:rowOff>
        </xdr:to>
        <xdr:sp macro="" textlink="">
          <xdr:nvSpPr>
            <xdr:cNvPr id="17768" name="Option Button 1384" hidden="1">
              <a:extLst>
                <a:ext uri="{63B3BB69-23CF-44E3-9099-C40C66FF867C}">
                  <a14:compatExt spid="_x0000_s17768"/>
                </a:ext>
                <a:ext uri="{FF2B5EF4-FFF2-40B4-BE49-F238E27FC236}">
                  <a16:creationId xmlns:a16="http://schemas.microsoft.com/office/drawing/2014/main" id="{00000000-0008-0000-0100-00006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5</xdr:col>
          <xdr:colOff>0</xdr:colOff>
          <xdr:row>60</xdr:row>
          <xdr:rowOff>0</xdr:rowOff>
        </xdr:to>
        <xdr:sp macro="" textlink="">
          <xdr:nvSpPr>
            <xdr:cNvPr id="17769" name="Group Box 1385" hidden="1">
              <a:extLst>
                <a:ext uri="{63B3BB69-23CF-44E3-9099-C40C66FF867C}">
                  <a14:compatExt spid="_x0000_s17769"/>
                </a:ext>
                <a:ext uri="{FF2B5EF4-FFF2-40B4-BE49-F238E27FC236}">
                  <a16:creationId xmlns:a16="http://schemas.microsoft.com/office/drawing/2014/main" id="{00000000-0008-0000-0100-00006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59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7770" name="Option Button 1386" hidden="1">
              <a:extLst>
                <a:ext uri="{63B3BB69-23CF-44E3-9099-C40C66FF867C}">
                  <a14:compatExt spid="_x0000_s17770"/>
                </a:ext>
                <a:ext uri="{FF2B5EF4-FFF2-40B4-BE49-F238E27FC236}">
                  <a16:creationId xmlns:a16="http://schemas.microsoft.com/office/drawing/2014/main" id="{00000000-0008-0000-0100-00006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17771" name="Option Button 1387" hidden="1">
              <a:extLst>
                <a:ext uri="{63B3BB69-23CF-44E3-9099-C40C66FF867C}">
                  <a14:compatExt spid="_x0000_s17771"/>
                </a:ext>
                <a:ext uri="{FF2B5EF4-FFF2-40B4-BE49-F238E27FC236}">
                  <a16:creationId xmlns:a16="http://schemas.microsoft.com/office/drawing/2014/main" id="{00000000-0008-0000-0100-00006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59</xdr:row>
          <xdr:rowOff>0</xdr:rowOff>
        </xdr:from>
        <xdr:to>
          <xdr:col>5</xdr:col>
          <xdr:colOff>0</xdr:colOff>
          <xdr:row>60</xdr:row>
          <xdr:rowOff>0</xdr:rowOff>
        </xdr:to>
        <xdr:sp macro="" textlink="">
          <xdr:nvSpPr>
            <xdr:cNvPr id="17772" name="Option Button 1388" hidden="1">
              <a:extLst>
                <a:ext uri="{63B3BB69-23CF-44E3-9099-C40C66FF867C}">
                  <a14:compatExt spid="_x0000_s17772"/>
                </a:ext>
                <a:ext uri="{FF2B5EF4-FFF2-40B4-BE49-F238E27FC236}">
                  <a16:creationId xmlns:a16="http://schemas.microsoft.com/office/drawing/2014/main" id="{00000000-0008-0000-0100-00006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5</xdr:col>
          <xdr:colOff>0</xdr:colOff>
          <xdr:row>79</xdr:row>
          <xdr:rowOff>0</xdr:rowOff>
        </xdr:to>
        <xdr:sp macro="" textlink="">
          <xdr:nvSpPr>
            <xdr:cNvPr id="17773" name="Group Box 1389" hidden="1">
              <a:extLst>
                <a:ext uri="{63B3BB69-23CF-44E3-9099-C40C66FF867C}">
                  <a14:compatExt spid="_x0000_s17773"/>
                </a:ext>
                <a:ext uri="{FF2B5EF4-FFF2-40B4-BE49-F238E27FC236}">
                  <a16:creationId xmlns:a16="http://schemas.microsoft.com/office/drawing/2014/main" id="{00000000-0008-0000-0100-00006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78</xdr:row>
          <xdr:rowOff>0</xdr:rowOff>
        </xdr:from>
        <xdr:to>
          <xdr:col>3</xdr:col>
          <xdr:colOff>0</xdr:colOff>
          <xdr:row>79</xdr:row>
          <xdr:rowOff>0</xdr:rowOff>
        </xdr:to>
        <xdr:sp macro="" textlink="">
          <xdr:nvSpPr>
            <xdr:cNvPr id="17774" name="Option Button 1390" hidden="1">
              <a:extLst>
                <a:ext uri="{63B3BB69-23CF-44E3-9099-C40C66FF867C}">
                  <a14:compatExt spid="_x0000_s17774"/>
                </a:ext>
                <a:ext uri="{FF2B5EF4-FFF2-40B4-BE49-F238E27FC236}">
                  <a16:creationId xmlns:a16="http://schemas.microsoft.com/office/drawing/2014/main" id="{00000000-0008-0000-0100-00006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17775" name="Option Button 1391" hidden="1">
              <a:extLst>
                <a:ext uri="{63B3BB69-23CF-44E3-9099-C40C66FF867C}">
                  <a14:compatExt spid="_x0000_s17775"/>
                </a:ext>
                <a:ext uri="{FF2B5EF4-FFF2-40B4-BE49-F238E27FC236}">
                  <a16:creationId xmlns:a16="http://schemas.microsoft.com/office/drawing/2014/main" id="{00000000-0008-0000-0100-00006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78</xdr:row>
          <xdr:rowOff>0</xdr:rowOff>
        </xdr:from>
        <xdr:to>
          <xdr:col>5</xdr:col>
          <xdr:colOff>0</xdr:colOff>
          <xdr:row>79</xdr:row>
          <xdr:rowOff>0</xdr:rowOff>
        </xdr:to>
        <xdr:sp macro="" textlink="">
          <xdr:nvSpPr>
            <xdr:cNvPr id="17776" name="Option Button 1392" hidden="1">
              <a:extLst>
                <a:ext uri="{63B3BB69-23CF-44E3-9099-C40C66FF867C}">
                  <a14:compatExt spid="_x0000_s17776"/>
                </a:ext>
                <a:ext uri="{FF2B5EF4-FFF2-40B4-BE49-F238E27FC236}">
                  <a16:creationId xmlns:a16="http://schemas.microsoft.com/office/drawing/2014/main" id="{00000000-0008-0000-0100-00007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99</xdr:row>
          <xdr:rowOff>0</xdr:rowOff>
        </xdr:from>
        <xdr:to>
          <xdr:col>5</xdr:col>
          <xdr:colOff>0</xdr:colOff>
          <xdr:row>100</xdr:row>
          <xdr:rowOff>0</xdr:rowOff>
        </xdr:to>
        <xdr:sp macro="" textlink="">
          <xdr:nvSpPr>
            <xdr:cNvPr id="17777" name="Group Box 1393" hidden="1">
              <a:extLst>
                <a:ext uri="{63B3BB69-23CF-44E3-9099-C40C66FF867C}">
                  <a14:compatExt spid="_x0000_s17777"/>
                </a:ext>
                <a:ext uri="{FF2B5EF4-FFF2-40B4-BE49-F238E27FC236}">
                  <a16:creationId xmlns:a16="http://schemas.microsoft.com/office/drawing/2014/main" id="{00000000-0008-0000-0100-00007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99</xdr:row>
          <xdr:rowOff>0</xdr:rowOff>
        </xdr:from>
        <xdr:to>
          <xdr:col>3</xdr:col>
          <xdr:colOff>0</xdr:colOff>
          <xdr:row>100</xdr:row>
          <xdr:rowOff>0</xdr:rowOff>
        </xdr:to>
        <xdr:sp macro="" textlink="">
          <xdr:nvSpPr>
            <xdr:cNvPr id="17778" name="Option Button 1394" hidden="1">
              <a:extLst>
                <a:ext uri="{63B3BB69-23CF-44E3-9099-C40C66FF867C}">
                  <a14:compatExt spid="_x0000_s17778"/>
                </a:ext>
                <a:ext uri="{FF2B5EF4-FFF2-40B4-BE49-F238E27FC236}">
                  <a16:creationId xmlns:a16="http://schemas.microsoft.com/office/drawing/2014/main" id="{00000000-0008-0000-0100-00007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17779" name="Option Button 1395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00000000-0008-0000-0100-00007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99</xdr:row>
          <xdr:rowOff>0</xdr:rowOff>
        </xdr:from>
        <xdr:to>
          <xdr:col>5</xdr:col>
          <xdr:colOff>0</xdr:colOff>
          <xdr:row>100</xdr:row>
          <xdr:rowOff>0</xdr:rowOff>
        </xdr:to>
        <xdr:sp macro="" textlink="">
          <xdr:nvSpPr>
            <xdr:cNvPr id="17780" name="Option Button 1396" hidden="1">
              <a:extLst>
                <a:ext uri="{63B3BB69-23CF-44E3-9099-C40C66FF867C}">
                  <a14:compatExt spid="_x0000_s17780"/>
                </a:ext>
                <a:ext uri="{FF2B5EF4-FFF2-40B4-BE49-F238E27FC236}">
                  <a16:creationId xmlns:a16="http://schemas.microsoft.com/office/drawing/2014/main" id="{00000000-0008-0000-0100-00007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98</xdr:row>
          <xdr:rowOff>0</xdr:rowOff>
        </xdr:from>
        <xdr:to>
          <xdr:col>5</xdr:col>
          <xdr:colOff>0</xdr:colOff>
          <xdr:row>99</xdr:row>
          <xdr:rowOff>0</xdr:rowOff>
        </xdr:to>
        <xdr:sp macro="" textlink="">
          <xdr:nvSpPr>
            <xdr:cNvPr id="17781" name="Group Box 1397" hidden="1">
              <a:extLst>
                <a:ext uri="{63B3BB69-23CF-44E3-9099-C40C66FF867C}">
                  <a14:compatExt spid="_x0000_s17781"/>
                </a:ext>
                <a:ext uri="{FF2B5EF4-FFF2-40B4-BE49-F238E27FC236}">
                  <a16:creationId xmlns:a16="http://schemas.microsoft.com/office/drawing/2014/main" id="{00000000-0008-0000-0100-00007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98</xdr:row>
          <xdr:rowOff>0</xdr:rowOff>
        </xdr:from>
        <xdr:to>
          <xdr:col>3</xdr:col>
          <xdr:colOff>0</xdr:colOff>
          <xdr:row>99</xdr:row>
          <xdr:rowOff>0</xdr:rowOff>
        </xdr:to>
        <xdr:sp macro="" textlink="">
          <xdr:nvSpPr>
            <xdr:cNvPr id="17782" name="Option Button 1398" hidden="1">
              <a:extLst>
                <a:ext uri="{63B3BB69-23CF-44E3-9099-C40C66FF867C}">
                  <a14:compatExt spid="_x0000_s17782"/>
                </a:ext>
                <a:ext uri="{FF2B5EF4-FFF2-40B4-BE49-F238E27FC236}">
                  <a16:creationId xmlns:a16="http://schemas.microsoft.com/office/drawing/2014/main" id="{00000000-0008-0000-0100-00007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17783" name="Option Button 1399" hidden="1">
              <a:extLst>
                <a:ext uri="{63B3BB69-23CF-44E3-9099-C40C66FF867C}">
                  <a14:compatExt spid="_x0000_s17783"/>
                </a:ext>
                <a:ext uri="{FF2B5EF4-FFF2-40B4-BE49-F238E27FC236}">
                  <a16:creationId xmlns:a16="http://schemas.microsoft.com/office/drawing/2014/main" id="{00000000-0008-0000-0100-00007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98</xdr:row>
          <xdr:rowOff>0</xdr:rowOff>
        </xdr:from>
        <xdr:to>
          <xdr:col>5</xdr:col>
          <xdr:colOff>0</xdr:colOff>
          <xdr:row>99</xdr:row>
          <xdr:rowOff>0</xdr:rowOff>
        </xdr:to>
        <xdr:sp macro="" textlink="">
          <xdr:nvSpPr>
            <xdr:cNvPr id="17784" name="Option Button 1400" hidden="1">
              <a:extLst>
                <a:ext uri="{63B3BB69-23CF-44E3-9099-C40C66FF867C}">
                  <a14:compatExt spid="_x0000_s17784"/>
                </a:ext>
                <a:ext uri="{FF2B5EF4-FFF2-40B4-BE49-F238E27FC236}">
                  <a16:creationId xmlns:a16="http://schemas.microsoft.com/office/drawing/2014/main" id="{00000000-0008-0000-0100-00007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97</xdr:row>
          <xdr:rowOff>0</xdr:rowOff>
        </xdr:from>
        <xdr:to>
          <xdr:col>5</xdr:col>
          <xdr:colOff>0</xdr:colOff>
          <xdr:row>98</xdr:row>
          <xdr:rowOff>0</xdr:rowOff>
        </xdr:to>
        <xdr:sp macro="" textlink="">
          <xdr:nvSpPr>
            <xdr:cNvPr id="17785" name="Group Box 1401" hidden="1">
              <a:extLst>
                <a:ext uri="{63B3BB69-23CF-44E3-9099-C40C66FF867C}">
                  <a14:compatExt spid="_x0000_s17785"/>
                </a:ext>
                <a:ext uri="{FF2B5EF4-FFF2-40B4-BE49-F238E27FC236}">
                  <a16:creationId xmlns:a16="http://schemas.microsoft.com/office/drawing/2014/main" id="{00000000-0008-0000-0100-00007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97</xdr:row>
          <xdr:rowOff>0</xdr:rowOff>
        </xdr:from>
        <xdr:to>
          <xdr:col>3</xdr:col>
          <xdr:colOff>0</xdr:colOff>
          <xdr:row>98</xdr:row>
          <xdr:rowOff>0</xdr:rowOff>
        </xdr:to>
        <xdr:sp macro="" textlink="">
          <xdr:nvSpPr>
            <xdr:cNvPr id="17786" name="Option Button 1402" hidden="1">
              <a:extLst>
                <a:ext uri="{63B3BB69-23CF-44E3-9099-C40C66FF867C}">
                  <a14:compatExt spid="_x0000_s17786"/>
                </a:ext>
                <a:ext uri="{FF2B5EF4-FFF2-40B4-BE49-F238E27FC236}">
                  <a16:creationId xmlns:a16="http://schemas.microsoft.com/office/drawing/2014/main" id="{00000000-0008-0000-0100-00007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17787" name="Option Button 1403" hidden="1">
              <a:extLst>
                <a:ext uri="{63B3BB69-23CF-44E3-9099-C40C66FF867C}">
                  <a14:compatExt spid="_x0000_s17787"/>
                </a:ext>
                <a:ext uri="{FF2B5EF4-FFF2-40B4-BE49-F238E27FC236}">
                  <a16:creationId xmlns:a16="http://schemas.microsoft.com/office/drawing/2014/main" id="{00000000-0008-0000-0100-00007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97</xdr:row>
          <xdr:rowOff>0</xdr:rowOff>
        </xdr:from>
        <xdr:to>
          <xdr:col>5</xdr:col>
          <xdr:colOff>0</xdr:colOff>
          <xdr:row>98</xdr:row>
          <xdr:rowOff>0</xdr:rowOff>
        </xdr:to>
        <xdr:sp macro="" textlink="">
          <xdr:nvSpPr>
            <xdr:cNvPr id="17788" name="Option Button 1404" hidden="1">
              <a:extLst>
                <a:ext uri="{63B3BB69-23CF-44E3-9099-C40C66FF867C}">
                  <a14:compatExt spid="_x0000_s17788"/>
                </a:ext>
                <a:ext uri="{FF2B5EF4-FFF2-40B4-BE49-F238E27FC236}">
                  <a16:creationId xmlns:a16="http://schemas.microsoft.com/office/drawing/2014/main" id="{00000000-0008-0000-0100-00007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96</xdr:row>
          <xdr:rowOff>0</xdr:rowOff>
        </xdr:from>
        <xdr:to>
          <xdr:col>5</xdr:col>
          <xdr:colOff>0</xdr:colOff>
          <xdr:row>97</xdr:row>
          <xdr:rowOff>0</xdr:rowOff>
        </xdr:to>
        <xdr:sp macro="" textlink="">
          <xdr:nvSpPr>
            <xdr:cNvPr id="17789" name="Group Box 1405" hidden="1">
              <a:extLst>
                <a:ext uri="{63B3BB69-23CF-44E3-9099-C40C66FF867C}">
                  <a14:compatExt spid="_x0000_s17789"/>
                </a:ext>
                <a:ext uri="{FF2B5EF4-FFF2-40B4-BE49-F238E27FC236}">
                  <a16:creationId xmlns:a16="http://schemas.microsoft.com/office/drawing/2014/main" id="{00000000-0008-0000-0100-00007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96</xdr:row>
          <xdr:rowOff>0</xdr:rowOff>
        </xdr:from>
        <xdr:to>
          <xdr:col>3</xdr:col>
          <xdr:colOff>0</xdr:colOff>
          <xdr:row>97</xdr:row>
          <xdr:rowOff>0</xdr:rowOff>
        </xdr:to>
        <xdr:sp macro="" textlink="">
          <xdr:nvSpPr>
            <xdr:cNvPr id="17790" name="Option Button 1406" hidden="1">
              <a:extLst>
                <a:ext uri="{63B3BB69-23CF-44E3-9099-C40C66FF867C}">
                  <a14:compatExt spid="_x0000_s17790"/>
                </a:ext>
                <a:ext uri="{FF2B5EF4-FFF2-40B4-BE49-F238E27FC236}">
                  <a16:creationId xmlns:a16="http://schemas.microsoft.com/office/drawing/2014/main" id="{00000000-0008-0000-0100-00007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17791" name="Option Button 1407" hidden="1">
              <a:extLst>
                <a:ext uri="{63B3BB69-23CF-44E3-9099-C40C66FF867C}">
                  <a14:compatExt spid="_x0000_s17791"/>
                </a:ext>
                <a:ext uri="{FF2B5EF4-FFF2-40B4-BE49-F238E27FC236}">
                  <a16:creationId xmlns:a16="http://schemas.microsoft.com/office/drawing/2014/main" id="{00000000-0008-0000-0100-00007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96</xdr:row>
          <xdr:rowOff>0</xdr:rowOff>
        </xdr:from>
        <xdr:to>
          <xdr:col>5</xdr:col>
          <xdr:colOff>0</xdr:colOff>
          <xdr:row>97</xdr:row>
          <xdr:rowOff>0</xdr:rowOff>
        </xdr:to>
        <xdr:sp macro="" textlink="">
          <xdr:nvSpPr>
            <xdr:cNvPr id="17792" name="Option Button 1408" hidden="1">
              <a:extLst>
                <a:ext uri="{63B3BB69-23CF-44E3-9099-C40C66FF867C}">
                  <a14:compatExt spid="_x0000_s17792"/>
                </a:ext>
                <a:ext uri="{FF2B5EF4-FFF2-40B4-BE49-F238E27FC236}">
                  <a16:creationId xmlns:a16="http://schemas.microsoft.com/office/drawing/2014/main" id="{00000000-0008-0000-0100-00008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95</xdr:row>
          <xdr:rowOff>0</xdr:rowOff>
        </xdr:from>
        <xdr:to>
          <xdr:col>5</xdr:col>
          <xdr:colOff>0</xdr:colOff>
          <xdr:row>96</xdr:row>
          <xdr:rowOff>0</xdr:rowOff>
        </xdr:to>
        <xdr:sp macro="" textlink="">
          <xdr:nvSpPr>
            <xdr:cNvPr id="17793" name="Group Box 1409" hidden="1">
              <a:extLst>
                <a:ext uri="{63B3BB69-23CF-44E3-9099-C40C66FF867C}">
                  <a14:compatExt spid="_x0000_s17793"/>
                </a:ext>
                <a:ext uri="{FF2B5EF4-FFF2-40B4-BE49-F238E27FC236}">
                  <a16:creationId xmlns:a16="http://schemas.microsoft.com/office/drawing/2014/main" id="{00000000-0008-0000-0100-00008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95</xdr:row>
          <xdr:rowOff>0</xdr:rowOff>
        </xdr:from>
        <xdr:to>
          <xdr:col>3</xdr:col>
          <xdr:colOff>0</xdr:colOff>
          <xdr:row>96</xdr:row>
          <xdr:rowOff>0</xdr:rowOff>
        </xdr:to>
        <xdr:sp macro="" textlink="">
          <xdr:nvSpPr>
            <xdr:cNvPr id="17794" name="Option Button 1410" hidden="1">
              <a:extLst>
                <a:ext uri="{63B3BB69-23CF-44E3-9099-C40C66FF867C}">
                  <a14:compatExt spid="_x0000_s17794"/>
                </a:ext>
                <a:ext uri="{FF2B5EF4-FFF2-40B4-BE49-F238E27FC236}">
                  <a16:creationId xmlns:a16="http://schemas.microsoft.com/office/drawing/2014/main" id="{00000000-0008-0000-0100-00008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17795" name="Option Button 1411" hidden="1">
              <a:extLst>
                <a:ext uri="{63B3BB69-23CF-44E3-9099-C40C66FF867C}">
                  <a14:compatExt spid="_x0000_s17795"/>
                </a:ext>
                <a:ext uri="{FF2B5EF4-FFF2-40B4-BE49-F238E27FC236}">
                  <a16:creationId xmlns:a16="http://schemas.microsoft.com/office/drawing/2014/main" id="{00000000-0008-0000-0100-00008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95</xdr:row>
          <xdr:rowOff>0</xdr:rowOff>
        </xdr:from>
        <xdr:to>
          <xdr:col>5</xdr:col>
          <xdr:colOff>0</xdr:colOff>
          <xdr:row>96</xdr:row>
          <xdr:rowOff>0</xdr:rowOff>
        </xdr:to>
        <xdr:sp macro="" textlink="">
          <xdr:nvSpPr>
            <xdr:cNvPr id="17796" name="Option Button 1412" hidden="1">
              <a:extLst>
                <a:ext uri="{63B3BB69-23CF-44E3-9099-C40C66FF867C}">
                  <a14:compatExt spid="_x0000_s17796"/>
                </a:ext>
                <a:ext uri="{FF2B5EF4-FFF2-40B4-BE49-F238E27FC236}">
                  <a16:creationId xmlns:a16="http://schemas.microsoft.com/office/drawing/2014/main" id="{00000000-0008-0000-0100-000084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94</xdr:row>
          <xdr:rowOff>0</xdr:rowOff>
        </xdr:from>
        <xdr:to>
          <xdr:col>5</xdr:col>
          <xdr:colOff>0</xdr:colOff>
          <xdr:row>95</xdr:row>
          <xdr:rowOff>0</xdr:rowOff>
        </xdr:to>
        <xdr:sp macro="" textlink="">
          <xdr:nvSpPr>
            <xdr:cNvPr id="17797" name="Group Box 1413" hidden="1">
              <a:extLst>
                <a:ext uri="{63B3BB69-23CF-44E3-9099-C40C66FF867C}">
                  <a14:compatExt spid="_x0000_s17797"/>
                </a:ext>
                <a:ext uri="{FF2B5EF4-FFF2-40B4-BE49-F238E27FC236}">
                  <a16:creationId xmlns:a16="http://schemas.microsoft.com/office/drawing/2014/main" id="{00000000-0008-0000-0100-000085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94</xdr:row>
          <xdr:rowOff>0</xdr:rowOff>
        </xdr:from>
        <xdr:to>
          <xdr:col>3</xdr:col>
          <xdr:colOff>0</xdr:colOff>
          <xdr:row>95</xdr:row>
          <xdr:rowOff>0</xdr:rowOff>
        </xdr:to>
        <xdr:sp macro="" textlink="">
          <xdr:nvSpPr>
            <xdr:cNvPr id="17798" name="Option Button 1414" hidden="1">
              <a:extLst>
                <a:ext uri="{63B3BB69-23CF-44E3-9099-C40C66FF867C}">
                  <a14:compatExt spid="_x0000_s17798"/>
                </a:ext>
                <a:ext uri="{FF2B5EF4-FFF2-40B4-BE49-F238E27FC236}">
                  <a16:creationId xmlns:a16="http://schemas.microsoft.com/office/drawing/2014/main" id="{00000000-0008-0000-0100-00008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17799" name="Option Button 1415" hidden="1">
              <a:extLst>
                <a:ext uri="{63B3BB69-23CF-44E3-9099-C40C66FF867C}">
                  <a14:compatExt spid="_x0000_s17799"/>
                </a:ext>
                <a:ext uri="{FF2B5EF4-FFF2-40B4-BE49-F238E27FC236}">
                  <a16:creationId xmlns:a16="http://schemas.microsoft.com/office/drawing/2014/main" id="{00000000-0008-0000-0100-000087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94</xdr:row>
          <xdr:rowOff>0</xdr:rowOff>
        </xdr:from>
        <xdr:to>
          <xdr:col>5</xdr:col>
          <xdr:colOff>0</xdr:colOff>
          <xdr:row>95</xdr:row>
          <xdr:rowOff>0</xdr:rowOff>
        </xdr:to>
        <xdr:sp macro="" textlink="">
          <xdr:nvSpPr>
            <xdr:cNvPr id="17800" name="Option Button 1416" hidden="1">
              <a:extLst>
                <a:ext uri="{63B3BB69-23CF-44E3-9099-C40C66FF867C}">
                  <a14:compatExt spid="_x0000_s17800"/>
                </a:ext>
                <a:ext uri="{FF2B5EF4-FFF2-40B4-BE49-F238E27FC236}">
                  <a16:creationId xmlns:a16="http://schemas.microsoft.com/office/drawing/2014/main" id="{00000000-0008-0000-0100-00008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93</xdr:row>
          <xdr:rowOff>0</xdr:rowOff>
        </xdr:from>
        <xdr:to>
          <xdr:col>5</xdr:col>
          <xdr:colOff>0</xdr:colOff>
          <xdr:row>94</xdr:row>
          <xdr:rowOff>0</xdr:rowOff>
        </xdr:to>
        <xdr:sp macro="" textlink="">
          <xdr:nvSpPr>
            <xdr:cNvPr id="17801" name="Group Box 1417" hidden="1">
              <a:extLst>
                <a:ext uri="{63B3BB69-23CF-44E3-9099-C40C66FF867C}">
                  <a14:compatExt spid="_x0000_s17801"/>
                </a:ext>
                <a:ext uri="{FF2B5EF4-FFF2-40B4-BE49-F238E27FC236}">
                  <a16:creationId xmlns:a16="http://schemas.microsoft.com/office/drawing/2014/main" id="{00000000-0008-0000-0100-000089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93</xdr:row>
          <xdr:rowOff>0</xdr:rowOff>
        </xdr:from>
        <xdr:to>
          <xdr:col>3</xdr:col>
          <xdr:colOff>0</xdr:colOff>
          <xdr:row>94</xdr:row>
          <xdr:rowOff>0</xdr:rowOff>
        </xdr:to>
        <xdr:sp macro="" textlink="">
          <xdr:nvSpPr>
            <xdr:cNvPr id="17802" name="Option Button 1418" hidden="1">
              <a:extLst>
                <a:ext uri="{63B3BB69-23CF-44E3-9099-C40C66FF867C}">
                  <a14:compatExt spid="_x0000_s17802"/>
                </a:ext>
                <a:ext uri="{FF2B5EF4-FFF2-40B4-BE49-F238E27FC236}">
                  <a16:creationId xmlns:a16="http://schemas.microsoft.com/office/drawing/2014/main" id="{00000000-0008-0000-0100-00008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17803" name="Option Button 1419" hidden="1">
              <a:extLst>
                <a:ext uri="{63B3BB69-23CF-44E3-9099-C40C66FF867C}">
                  <a14:compatExt spid="_x0000_s17803"/>
                </a:ext>
                <a:ext uri="{FF2B5EF4-FFF2-40B4-BE49-F238E27FC236}">
                  <a16:creationId xmlns:a16="http://schemas.microsoft.com/office/drawing/2014/main" id="{00000000-0008-0000-0100-00008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93</xdr:row>
          <xdr:rowOff>0</xdr:rowOff>
        </xdr:from>
        <xdr:to>
          <xdr:col>5</xdr:col>
          <xdr:colOff>0</xdr:colOff>
          <xdr:row>94</xdr:row>
          <xdr:rowOff>0</xdr:rowOff>
        </xdr:to>
        <xdr:sp macro="" textlink="">
          <xdr:nvSpPr>
            <xdr:cNvPr id="17804" name="Option Button 1420" hidden="1">
              <a:extLst>
                <a:ext uri="{63B3BB69-23CF-44E3-9099-C40C66FF867C}">
                  <a14:compatExt spid="_x0000_s17804"/>
                </a:ext>
                <a:ext uri="{FF2B5EF4-FFF2-40B4-BE49-F238E27FC236}">
                  <a16:creationId xmlns:a16="http://schemas.microsoft.com/office/drawing/2014/main" id="{00000000-0008-0000-0100-00008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80</xdr:row>
          <xdr:rowOff>0</xdr:rowOff>
        </xdr:from>
        <xdr:to>
          <xdr:col>3</xdr:col>
          <xdr:colOff>0</xdr:colOff>
          <xdr:row>81</xdr:row>
          <xdr:rowOff>0</xdr:rowOff>
        </xdr:to>
        <xdr:sp macro="" textlink="">
          <xdr:nvSpPr>
            <xdr:cNvPr id="17805" name="Option Button 1421" hidden="1">
              <a:extLst>
                <a:ext uri="{63B3BB69-23CF-44E3-9099-C40C66FF867C}">
                  <a14:compatExt spid="_x0000_s17805"/>
                </a:ext>
                <a:ext uri="{FF2B5EF4-FFF2-40B4-BE49-F238E27FC236}">
                  <a16:creationId xmlns:a16="http://schemas.microsoft.com/office/drawing/2014/main" id="{00000000-0008-0000-0100-00008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17806" name="Option Button 1422" hidden="1">
              <a:extLst>
                <a:ext uri="{63B3BB69-23CF-44E3-9099-C40C66FF867C}">
                  <a14:compatExt spid="_x0000_s17806"/>
                </a:ext>
                <a:ext uri="{FF2B5EF4-FFF2-40B4-BE49-F238E27FC236}">
                  <a16:creationId xmlns:a16="http://schemas.microsoft.com/office/drawing/2014/main" id="{00000000-0008-0000-0100-00008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80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17807" name="Option Button 1423" hidden="1">
              <a:extLst>
                <a:ext uri="{63B3BB69-23CF-44E3-9099-C40C66FF867C}">
                  <a14:compatExt spid="_x0000_s17807"/>
                </a:ext>
                <a:ext uri="{FF2B5EF4-FFF2-40B4-BE49-F238E27FC236}">
                  <a16:creationId xmlns:a16="http://schemas.microsoft.com/office/drawing/2014/main" id="{00000000-0008-0000-0100-00008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80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17808" name="Group Box 1424" hidden="1">
              <a:extLst>
                <a:ext uri="{63B3BB69-23CF-44E3-9099-C40C66FF867C}">
                  <a14:compatExt spid="_x0000_s17808"/>
                </a:ext>
                <a:ext uri="{FF2B5EF4-FFF2-40B4-BE49-F238E27FC236}">
                  <a16:creationId xmlns:a16="http://schemas.microsoft.com/office/drawing/2014/main" id="{00000000-0008-0000-0100-00009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17834" name="Option Button 1450" hidden="1">
              <a:extLst>
                <a:ext uri="{63B3BB69-23CF-44E3-9099-C40C66FF867C}">
                  <a14:compatExt spid="_x0000_s17834"/>
                </a:ext>
                <a:ext uri="{FF2B5EF4-FFF2-40B4-BE49-F238E27FC236}">
                  <a16:creationId xmlns:a16="http://schemas.microsoft.com/office/drawing/2014/main" id="{00000000-0008-0000-0100-0000AA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7835" name="Option Button 1451" hidden="1">
              <a:extLst>
                <a:ext uri="{63B3BB69-23CF-44E3-9099-C40C66FF867C}">
                  <a14:compatExt spid="_x0000_s17835"/>
                </a:ext>
                <a:ext uri="{FF2B5EF4-FFF2-40B4-BE49-F238E27FC236}">
                  <a16:creationId xmlns:a16="http://schemas.microsoft.com/office/drawing/2014/main" id="{00000000-0008-0000-0100-0000AB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17841" name="Option Button 1457" hidden="1">
              <a:extLst>
                <a:ext uri="{63B3BB69-23CF-44E3-9099-C40C66FF867C}">
                  <a14:compatExt spid="_x0000_s17841"/>
                </a:ext>
                <a:ext uri="{FF2B5EF4-FFF2-40B4-BE49-F238E27FC236}">
                  <a16:creationId xmlns:a16="http://schemas.microsoft.com/office/drawing/2014/main" id="{00000000-0008-0000-0100-0000B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17842" name="Option Button 1458" hidden="1">
              <a:extLst>
                <a:ext uri="{63B3BB69-23CF-44E3-9099-C40C66FF867C}">
                  <a14:compatExt spid="_x0000_s17842"/>
                </a:ext>
                <a:ext uri="{FF2B5EF4-FFF2-40B4-BE49-F238E27FC236}">
                  <a16:creationId xmlns:a16="http://schemas.microsoft.com/office/drawing/2014/main" id="{00000000-0008-0000-0100-0000B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17843" name="Option Button 1459" hidden="1">
              <a:extLst>
                <a:ext uri="{63B3BB69-23CF-44E3-9099-C40C66FF867C}">
                  <a14:compatExt spid="_x0000_s17843"/>
                </a:ext>
                <a:ext uri="{FF2B5EF4-FFF2-40B4-BE49-F238E27FC236}">
                  <a16:creationId xmlns:a16="http://schemas.microsoft.com/office/drawing/2014/main" id="{00000000-0008-0000-0100-0000B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7848" name="Button 1464" hidden="1">
              <a:extLst>
                <a:ext uri="{63B3BB69-23CF-44E3-9099-C40C66FF867C}">
                  <a14:compatExt spid="_x0000_s17848"/>
                </a:ext>
                <a:ext uri="{FF2B5EF4-FFF2-40B4-BE49-F238E27FC236}">
                  <a16:creationId xmlns:a16="http://schemas.microsoft.com/office/drawing/2014/main" id="{00000000-0008-0000-0100-0000B8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Amend              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163</xdr:row>
          <xdr:rowOff>0</xdr:rowOff>
        </xdr:from>
        <xdr:to>
          <xdr:col>8</xdr:col>
          <xdr:colOff>7620</xdr:colOff>
          <xdr:row>165</xdr:row>
          <xdr:rowOff>0</xdr:rowOff>
        </xdr:to>
        <xdr:sp macro="" textlink="">
          <xdr:nvSpPr>
            <xdr:cNvPr id="17854" name="Butt_Undo_3" hidden="1">
              <a:extLst>
                <a:ext uri="{63B3BB69-23CF-44E3-9099-C40C66FF867C}">
                  <a14:compatExt spid="_x0000_s17854"/>
                </a:ext>
                <a:ext uri="{FF2B5EF4-FFF2-40B4-BE49-F238E27FC236}">
                  <a16:creationId xmlns:a16="http://schemas.microsoft.com/office/drawing/2014/main" id="{00000000-0008-0000-0100-0000BE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3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174</xdr:row>
          <xdr:rowOff>0</xdr:rowOff>
        </xdr:from>
        <xdr:to>
          <xdr:col>0</xdr:col>
          <xdr:colOff>914400</xdr:colOff>
          <xdr:row>176</xdr:row>
          <xdr:rowOff>0</xdr:rowOff>
        </xdr:to>
        <xdr:sp macro="" textlink="">
          <xdr:nvSpPr>
            <xdr:cNvPr id="17855" name="Butt_Undo_4" hidden="1">
              <a:extLst>
                <a:ext uri="{63B3BB69-23CF-44E3-9099-C40C66FF867C}">
                  <a14:compatExt spid="_x0000_s17855"/>
                </a:ext>
                <a:ext uri="{FF2B5EF4-FFF2-40B4-BE49-F238E27FC236}">
                  <a16:creationId xmlns:a16="http://schemas.microsoft.com/office/drawing/2014/main" id="{00000000-0008-0000-0100-0000BF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4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187</xdr:row>
          <xdr:rowOff>0</xdr:rowOff>
        </xdr:from>
        <xdr:to>
          <xdr:col>8</xdr:col>
          <xdr:colOff>0</xdr:colOff>
          <xdr:row>189</xdr:row>
          <xdr:rowOff>0</xdr:rowOff>
        </xdr:to>
        <xdr:sp macro="" textlink="">
          <xdr:nvSpPr>
            <xdr:cNvPr id="17856" name="Butt_Undo_5" hidden="1">
              <a:extLst>
                <a:ext uri="{63B3BB69-23CF-44E3-9099-C40C66FF867C}">
                  <a14:compatExt spid="_x0000_s17856"/>
                </a:ext>
                <a:ext uri="{FF2B5EF4-FFF2-40B4-BE49-F238E27FC236}">
                  <a16:creationId xmlns:a16="http://schemas.microsoft.com/office/drawing/2014/main" id="{00000000-0008-0000-0100-0000C0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5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198</xdr:row>
          <xdr:rowOff>0</xdr:rowOff>
        </xdr:from>
        <xdr:to>
          <xdr:col>0</xdr:col>
          <xdr:colOff>914400</xdr:colOff>
          <xdr:row>200</xdr:row>
          <xdr:rowOff>0</xdr:rowOff>
        </xdr:to>
        <xdr:sp macro="" textlink="">
          <xdr:nvSpPr>
            <xdr:cNvPr id="17857" name="Butt_Undo_6" hidden="1">
              <a:extLst>
                <a:ext uri="{63B3BB69-23CF-44E3-9099-C40C66FF867C}">
                  <a14:compatExt spid="_x0000_s17857"/>
                </a:ext>
                <a:ext uri="{FF2B5EF4-FFF2-40B4-BE49-F238E27FC236}">
                  <a16:creationId xmlns:a16="http://schemas.microsoft.com/office/drawing/2014/main" id="{00000000-0008-0000-0100-0000C1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6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209</xdr:row>
          <xdr:rowOff>0</xdr:rowOff>
        </xdr:from>
        <xdr:to>
          <xdr:col>8</xdr:col>
          <xdr:colOff>0</xdr:colOff>
          <xdr:row>211</xdr:row>
          <xdr:rowOff>0</xdr:rowOff>
        </xdr:to>
        <xdr:sp macro="" textlink="">
          <xdr:nvSpPr>
            <xdr:cNvPr id="17858" name="Butt_Undo_7" hidden="1">
              <a:extLst>
                <a:ext uri="{63B3BB69-23CF-44E3-9099-C40C66FF867C}">
                  <a14:compatExt spid="_x0000_s17858"/>
                </a:ext>
                <a:ext uri="{FF2B5EF4-FFF2-40B4-BE49-F238E27FC236}">
                  <a16:creationId xmlns:a16="http://schemas.microsoft.com/office/drawing/2014/main" id="{00000000-0008-0000-0100-0000C2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7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220</xdr:row>
          <xdr:rowOff>0</xdr:rowOff>
        </xdr:from>
        <xdr:to>
          <xdr:col>0</xdr:col>
          <xdr:colOff>914400</xdr:colOff>
          <xdr:row>222</xdr:row>
          <xdr:rowOff>0</xdr:rowOff>
        </xdr:to>
        <xdr:sp macro="" textlink="">
          <xdr:nvSpPr>
            <xdr:cNvPr id="17859" name="Butt_Undo_8" hidden="1">
              <a:extLst>
                <a:ext uri="{63B3BB69-23CF-44E3-9099-C40C66FF867C}">
                  <a14:compatExt spid="_x0000_s17859"/>
                </a:ext>
                <a:ext uri="{FF2B5EF4-FFF2-40B4-BE49-F238E27FC236}">
                  <a16:creationId xmlns:a16="http://schemas.microsoft.com/office/drawing/2014/main" id="{00000000-0008-0000-0100-0000C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8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141</xdr:row>
          <xdr:rowOff>0</xdr:rowOff>
        </xdr:from>
        <xdr:to>
          <xdr:col>8</xdr:col>
          <xdr:colOff>0</xdr:colOff>
          <xdr:row>143</xdr:row>
          <xdr:rowOff>0</xdr:rowOff>
        </xdr:to>
        <xdr:sp macro="" textlink="">
          <xdr:nvSpPr>
            <xdr:cNvPr id="17852" name="Butt_Undo_1" hidden="1">
              <a:extLst>
                <a:ext uri="{63B3BB69-23CF-44E3-9099-C40C66FF867C}">
                  <a14:compatExt spid="_x0000_s17852"/>
                </a:ext>
                <a:ext uri="{FF2B5EF4-FFF2-40B4-BE49-F238E27FC236}">
                  <a16:creationId xmlns:a16="http://schemas.microsoft.com/office/drawing/2014/main" id="{00000000-0008-0000-0100-0000BC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1 and Text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</xdr:row>
          <xdr:rowOff>0</xdr:rowOff>
        </xdr:from>
        <xdr:to>
          <xdr:col>0</xdr:col>
          <xdr:colOff>914400</xdr:colOff>
          <xdr:row>154</xdr:row>
          <xdr:rowOff>0</xdr:rowOff>
        </xdr:to>
        <xdr:sp macro="" textlink="">
          <xdr:nvSpPr>
            <xdr:cNvPr id="17853" name="Butt_Undo_2" hidden="1">
              <a:extLst>
                <a:ext uri="{63B3BB69-23CF-44E3-9099-C40C66FF867C}">
                  <a14:compatExt spid="_x0000_s17853"/>
                </a:ext>
                <a:ext uri="{FF2B5EF4-FFF2-40B4-BE49-F238E27FC236}">
                  <a16:creationId xmlns:a16="http://schemas.microsoft.com/office/drawing/2014/main" id="{00000000-0008-0000-0100-0000BD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Undo Paste 2 and Text 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15</xdr:row>
          <xdr:rowOff>7620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6626" name="Option 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6627" name="Group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15</xdr:row>
          <xdr:rowOff>7620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6628" name="Option 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12</xdr:row>
          <xdr:rowOff>7620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6629" name="Option 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6630" name="Group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2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7620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6631" name="Option 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2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6632" name="Group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2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6633" name="Option 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2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6634" name="Group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2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7620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6635" name="Option 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6636" name="Group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2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17</xdr:row>
          <xdr:rowOff>7620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6637" name="Option 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2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6638" name="Group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7620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6639" name="Option 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2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6640" name="Group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2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19</xdr:row>
          <xdr:rowOff>7620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6641" name="Option 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6642" name="Group Box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2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7620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26643" name="Option 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7620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26644" name="Option 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2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7620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6645" name="Option 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2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7620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6646" name="Option 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2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7620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26647" name="Option 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2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7620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26648" name="Option 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2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26649" name="Option 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2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2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6651" name="Spinner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2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6652" name="Spinner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2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6653" name="Spinner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2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6654" name="Spinner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2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27</xdr:row>
          <xdr:rowOff>251460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6655" name="Spinner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2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0</xdr:rowOff>
        </xdr:from>
        <xdr:to>
          <xdr:col>7</xdr:col>
          <xdr:colOff>0</xdr:colOff>
          <xdr:row>29</xdr:row>
          <xdr:rowOff>251460</xdr:rowOff>
        </xdr:to>
        <xdr:sp macro="" textlink="">
          <xdr:nvSpPr>
            <xdr:cNvPr id="26656" name="Spinner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2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6657" name="Spinner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2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30</xdr:row>
          <xdr:rowOff>251460</xdr:rowOff>
        </xdr:from>
        <xdr:to>
          <xdr:col>7</xdr:col>
          <xdr:colOff>0</xdr:colOff>
          <xdr:row>31</xdr:row>
          <xdr:rowOff>251460</xdr:rowOff>
        </xdr:to>
        <xdr:sp macro="" textlink="">
          <xdr:nvSpPr>
            <xdr:cNvPr id="26658" name="Spinner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2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26659" name="Spinner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2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26660" name="Spinner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2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26661" name="Spinner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2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26662" name="Spinner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2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26663" name="Spinner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2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26664" name="Spinner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2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26665" name="Spinner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2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26666" name="Spinner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2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2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combined Inspection &amp; Calibration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944880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2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Calibration document ONLY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19050</xdr:colOff>
      <xdr:row>7</xdr:row>
      <xdr:rowOff>28575</xdr:rowOff>
    </xdr:from>
    <xdr:to>
      <xdr:col>6</xdr:col>
      <xdr:colOff>190500</xdr:colOff>
      <xdr:row>8</xdr:row>
      <xdr:rowOff>215277</xdr:rowOff>
    </xdr:to>
    <xdr:pic>
      <xdr:nvPicPr>
        <xdr:cNvPr id="47" name="Printer Symbol - Cal" descr="Fax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29275" y="1714500"/>
          <a:ext cx="438150" cy="434352"/>
        </a:xfrm>
        <a:prstGeom prst="rect">
          <a:avLst/>
        </a:prstGeom>
      </xdr:spPr>
    </xdr:pic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C\Custom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s"/>
    </sheetNames>
    <sheetDataSet>
      <sheetData sheetId="0">
        <row r="2">
          <cell r="A2" t="str">
            <v>AAA Manufacturing</v>
          </cell>
          <cell r="B2" t="str">
            <v>No address</v>
          </cell>
        </row>
        <row r="3">
          <cell r="A3" t="str">
            <v>ABD Poultry</v>
          </cell>
          <cell r="B3" t="str">
            <v>24 Londor Close, Hemmant QLD 4174</v>
          </cell>
        </row>
        <row r="4">
          <cell r="A4" t="str">
            <v>Alba Cheese Manufacturing</v>
          </cell>
          <cell r="B4" t="str">
            <v>27-33 Assembly Drive, Tullamarine VIC 3043</v>
          </cell>
        </row>
        <row r="5">
          <cell r="A5" t="str">
            <v>Allpack Designs &amp; Solutions</v>
          </cell>
          <cell r="B5" t="str">
            <v>10/43 Stirling Rd, Minchinbury NSW 2770</v>
          </cell>
        </row>
        <row r="6">
          <cell r="A6" t="str">
            <v>Allseps Pty Ltd</v>
          </cell>
          <cell r="B6" t="str">
            <v>5-9 Bunney St, South Oakleigh VIC 3167</v>
          </cell>
        </row>
        <row r="7">
          <cell r="A7" t="str">
            <v>Almondco Australia Limited</v>
          </cell>
          <cell r="B7" t="str">
            <v>Sturt Highway, Renmark SA 5341</v>
          </cell>
        </row>
        <row r="8">
          <cell r="A8" t="str">
            <v>Alpine MDF Industries</v>
          </cell>
          <cell r="B8" t="str">
            <v>Lot 1 Crosher Ln, Wangaratta VIC 3677</v>
          </cell>
        </row>
        <row r="9">
          <cell r="A9" t="str">
            <v>Annex Foods</v>
          </cell>
          <cell r="B9" t="str">
            <v>114-116 Fairbank Road, Clayton South VIC 3169</v>
          </cell>
        </row>
        <row r="10">
          <cell r="A10" t="str">
            <v>Arnott's Biscuits (Huntingwood)</v>
          </cell>
          <cell r="B10" t="str">
            <v>61 Huntingwood Rd, Huntingwood NSW 2148</v>
          </cell>
          <cell r="C10" t="str">
            <v>Don Mitchell</v>
          </cell>
        </row>
        <row r="11">
          <cell r="A11" t="str">
            <v>Arnott's Biscuits (Virginia)</v>
          </cell>
          <cell r="B11" t="str">
            <v>46 Robinson Rd E, Virginia QLD 4014</v>
          </cell>
          <cell r="C11" t="str">
            <v>Trevor Onion</v>
          </cell>
        </row>
        <row r="12">
          <cell r="A12" t="str">
            <v>Asaleo Care Australia</v>
          </cell>
          <cell r="B12" t="str">
            <v>30-32 Westall Rd, Springvale VIC 3171</v>
          </cell>
        </row>
        <row r="13">
          <cell r="A13" t="str">
            <v>Ausco Australia</v>
          </cell>
          <cell r="B13" t="str">
            <v>Shop 5, 41 Graham Road, Carseldine QLD 4034</v>
          </cell>
        </row>
        <row r="14">
          <cell r="A14" t="str">
            <v>Australasian Foods (Pakenham)</v>
          </cell>
          <cell r="B14" t="str">
            <v>28-46 Bald Hill Road, Pakenham VIC 3810</v>
          </cell>
        </row>
        <row r="15">
          <cell r="A15" t="str">
            <v>Avondale Foods</v>
          </cell>
          <cell r="B15" t="str">
            <v>836 Canobolas Rd, Orange NSW 2800</v>
          </cell>
        </row>
        <row r="16">
          <cell r="A16" t="str">
            <v>Bakery Domain</v>
          </cell>
          <cell r="B16" t="str">
            <v>3-5 Lisa Place, Coolaroo VIC 3048</v>
          </cell>
        </row>
        <row r="17">
          <cell r="A17" t="str">
            <v>Ballarat Regional Industries Inc.</v>
          </cell>
          <cell r="B17" t="str">
            <v>108 Walker Street, Sebastopol VIC 3356</v>
          </cell>
        </row>
        <row r="18">
          <cell r="A18" t="str">
            <v>Barambah Organics</v>
          </cell>
          <cell r="B18" t="str">
            <v>17 Pradella Street, Darra QLD 4076</v>
          </cell>
        </row>
        <row r="19">
          <cell r="A19" t="str">
            <v>BE Campbell  (Arndell Park)</v>
          </cell>
          <cell r="B19" t="str">
            <v>212 Walters Road, Arndell Park NSW 2148</v>
          </cell>
        </row>
        <row r="20">
          <cell r="A20" t="str">
            <v>BE Campbell  (Wetherill Park)</v>
          </cell>
          <cell r="B20" t="str">
            <v>144 Newton Rd, Wetherill Park NSW 2164</v>
          </cell>
        </row>
        <row r="21">
          <cell r="A21" t="str">
            <v>Bega Cheese (North Bega)</v>
          </cell>
          <cell r="B21" t="str">
            <v>23-45 Ridge Street, North Bega NSW 2550</v>
          </cell>
        </row>
        <row r="22">
          <cell r="A22" t="str">
            <v>Bega Cheese (Strathmerton)</v>
          </cell>
          <cell r="B22" t="str">
            <v>Murray Valley Highway, Strathmerton VIC 3641</v>
          </cell>
        </row>
        <row r="23">
          <cell r="A23" t="str">
            <v>Belaroma Coffee</v>
          </cell>
          <cell r="B23" t="str">
            <v>75 Kenneth Rd, Manly Vale NSW 2093</v>
          </cell>
        </row>
        <row r="24">
          <cell r="A24" t="str">
            <v>Berger Ingredients</v>
          </cell>
          <cell r="B24" t="str">
            <v>2/17 Willfox Street, Condell Park NSW 2200</v>
          </cell>
        </row>
        <row r="25">
          <cell r="A25" t="str">
            <v>Bindaree Beef</v>
          </cell>
          <cell r="B25" t="str">
            <v>6 Taree Street, Burleigh Heads QLD 4220</v>
          </cell>
        </row>
        <row r="26">
          <cell r="A26" t="str">
            <v>Blue Lake Milling</v>
          </cell>
          <cell r="B26" t="str">
            <v>71 Pigeon Flat Road, Bordertown SA 5268</v>
          </cell>
        </row>
        <row r="27">
          <cell r="A27" t="str">
            <v>Bowe Pty Ltd</v>
          </cell>
          <cell r="B27" t="str">
            <v>16 Duncan Road, Dry Creek SA 5094</v>
          </cell>
        </row>
        <row r="28">
          <cell r="A28" t="str">
            <v>Bread Solutions</v>
          </cell>
          <cell r="B28" t="str">
            <v>50 Mills Road, Braeside VIC 3195</v>
          </cell>
        </row>
        <row r="29">
          <cell r="A29" t="str">
            <v>Brookfarm</v>
          </cell>
          <cell r="B29" t="str">
            <v>14B Banksia Drive, Byron Bay NSW 2481</v>
          </cell>
        </row>
        <row r="30">
          <cell r="A30" t="str">
            <v>Bundy Berries</v>
          </cell>
          <cell r="B30" t="str">
            <v>35 Nicolsons Rd, Sharon QLD 4670</v>
          </cell>
          <cell r="C30" t="str">
            <v>Dave Gregory</v>
          </cell>
        </row>
        <row r="31">
          <cell r="A31" t="str">
            <v>Burst Foods</v>
          </cell>
          <cell r="B31" t="str">
            <v>Factory 50 Jayco Drive, Dandenong South VIC 3175</v>
          </cell>
        </row>
        <row r="32">
          <cell r="A32" t="str">
            <v>Cello Paper</v>
          </cell>
          <cell r="B32" t="str">
            <v>64-72 Seville St, Fairfield NSW 2165</v>
          </cell>
        </row>
        <row r="33">
          <cell r="A33" t="str">
            <v>Cerebos (Australia)</v>
          </cell>
          <cell r="B33" t="str">
            <v>92-96 Station Rd, Seven Hills NSW 2147</v>
          </cell>
        </row>
        <row r="34">
          <cell r="A34" t="str">
            <v>Chocolatier Australia</v>
          </cell>
          <cell r="B34" t="str">
            <v>111-117 Bamfield Road, Heidelberg West VIC 3081</v>
          </cell>
        </row>
        <row r="35">
          <cell r="A35" t="str">
            <v>Choice Pack</v>
          </cell>
          <cell r="B35" t="str">
            <v>Level 1/ 7 Underwood Road, Homebush NSW 2140</v>
          </cell>
        </row>
        <row r="36">
          <cell r="A36" t="str">
            <v>Coastal Fresh Peas</v>
          </cell>
          <cell r="B36" t="str">
            <v>Lot 28 Korrumburra Rd, Wonthaggi VIC 3995</v>
          </cell>
        </row>
        <row r="37">
          <cell r="A37" t="str">
            <v>Coastal Hydroponics</v>
          </cell>
          <cell r="B37" t="str">
            <v>730 Gilston Rd, Gilston QLD 4211</v>
          </cell>
        </row>
        <row r="38">
          <cell r="A38" t="str">
            <v>Coco Processors</v>
          </cell>
          <cell r="B38" t="str">
            <v>9/ 18-22 Williams Road, Dandenong VIC 3175</v>
          </cell>
        </row>
        <row r="39">
          <cell r="A39" t="str">
            <v>Comgroup (Carole Park)</v>
          </cell>
          <cell r="B39" t="str">
            <v>57-61 Mica St, Carole Park QLD 4300</v>
          </cell>
        </row>
        <row r="40">
          <cell r="A40" t="str">
            <v>Comgroup (Eagle Farm)</v>
          </cell>
          <cell r="B40" t="str">
            <v>1173 Kingsford Smith Drive, Eagle Farm QLD 4009</v>
          </cell>
        </row>
        <row r="41">
          <cell r="A41" t="str">
            <v xml:space="preserve">Complete Dairy Packaging </v>
          </cell>
          <cell r="B41" t="str">
            <v>89 Northern Road, Heidelberg West VIC 3081</v>
          </cell>
        </row>
        <row r="42">
          <cell r="A42" t="str">
            <v>Consolidated Manufacturing</v>
          </cell>
          <cell r="B42" t="str">
            <v>Swanbrook Rd, Inverell NSW 2360</v>
          </cell>
        </row>
        <row r="43">
          <cell r="A43" t="str">
            <v>Coolibah Herbs</v>
          </cell>
          <cell r="B43" t="str">
            <v>191-195 Craig Rd, Pearcedale VIC 3912</v>
          </cell>
        </row>
        <row r="44">
          <cell r="A44" t="str">
            <v>Corvina Foods</v>
          </cell>
          <cell r="B44" t="str">
            <v>14 Kylie Place, Cheltenham VIC 3192</v>
          </cell>
        </row>
        <row r="45">
          <cell r="A45" t="str">
            <v>Cottee Kadamani Food Co.</v>
          </cell>
          <cell r="B45" t="str">
            <v>56 Lara Way, Campbellfield VIC 3061</v>
          </cell>
        </row>
        <row r="46">
          <cell r="A46" t="str">
            <v>Covino Farms Produce</v>
          </cell>
          <cell r="B46" t="str">
            <v>631 Seaspray Rd, Longford VIC 3851</v>
          </cell>
        </row>
        <row r="47">
          <cell r="A47" t="str">
            <v>CSIRO Food &amp; Nutrition</v>
          </cell>
          <cell r="B47" t="str">
            <v>671 Sneydes Road, Werribee VIC 3030</v>
          </cell>
        </row>
        <row r="48">
          <cell r="A48" t="str">
            <v>Custom Supplements</v>
          </cell>
          <cell r="B48" t="str">
            <v>1/71 Wacol Station Road, Wacol QLD 4076</v>
          </cell>
          <cell r="C48" t="str">
            <v>Steven Bustamante</v>
          </cell>
        </row>
        <row r="49">
          <cell r="A49" t="str">
            <v>D &amp; R Henderson</v>
          </cell>
          <cell r="B49" t="str">
            <v>Yarrawonga Rd, Benalla VIC 3672</v>
          </cell>
        </row>
        <row r="50">
          <cell r="A50" t="str">
            <v>Dairy Country</v>
          </cell>
          <cell r="B50" t="str">
            <v>4A Tarmac Drive, Tullamarine VIC 3043</v>
          </cell>
        </row>
        <row r="51">
          <cell r="A51" t="str">
            <v>Dalmore Cold Stores</v>
          </cell>
          <cell r="B51" t="str">
            <v>1015 Manks Rd, Dalmore VIC 3981</v>
          </cell>
        </row>
        <row r="52">
          <cell r="A52" t="str">
            <v>Danpark Pty Ltd</v>
          </cell>
          <cell r="B52" t="str">
            <v>23-27 Boola Ave, Yennora NSW 2161</v>
          </cell>
        </row>
        <row r="53">
          <cell r="A53" t="str">
            <v>Darrell Lea Chocolate Shops</v>
          </cell>
          <cell r="B53" t="str">
            <v>3 Brooks Road, Ingleburn NSW 2565</v>
          </cell>
        </row>
        <row r="54">
          <cell r="A54" t="str">
            <v>De Costi Seafoods Pty Ltd</v>
          </cell>
          <cell r="B54" t="str">
            <v>29 Bachell Ave, Lidcombe NSW 2141</v>
          </cell>
        </row>
        <row r="55">
          <cell r="A55" t="str">
            <v>Defugo Group Australia</v>
          </cell>
          <cell r="B55" t="str">
            <v>20 Heaths Court, Mill Park VIC 3082</v>
          </cell>
        </row>
        <row r="56">
          <cell r="A56" t="str">
            <v>Delbake Pty Ltd</v>
          </cell>
          <cell r="B56" t="str">
            <v>4 Henley Crt, Moorabbin VIC 3189</v>
          </cell>
        </row>
        <row r="57">
          <cell r="A57" t="str">
            <v>Delre International</v>
          </cell>
          <cell r="B57" t="str">
            <v>107 National Boulevard, Campbellfield VIC 3061</v>
          </cell>
        </row>
        <row r="58">
          <cell r="A58" t="str">
            <v>Denco Trading</v>
          </cell>
          <cell r="B58" t="str">
            <v>35 Noosa Street, Heathwood QLD 4110</v>
          </cell>
        </row>
        <row r="59">
          <cell r="A59" t="str">
            <v>Diver Foods</v>
          </cell>
          <cell r="B59" t="str">
            <v>15 Rocco Dr, Scoresby VIC 3179</v>
          </cell>
        </row>
        <row r="60">
          <cell r="A60" t="str">
            <v>DJ&amp;A Pty Ltd</v>
          </cell>
          <cell r="B60" t="str">
            <v>Unit 10A, 1 Hale Street, Botany NSW 2019</v>
          </cell>
        </row>
        <row r="61">
          <cell r="A61" t="str">
            <v>Drake Food Markets</v>
          </cell>
          <cell r="B61" t="str">
            <v>159 Henley Beach Rd, Torrensville SA 5031</v>
          </cell>
        </row>
        <row r="62">
          <cell r="A62" t="str">
            <v>DSA Fresh</v>
          </cell>
          <cell r="B62" t="str">
            <v>331 Diment Road, Direk SA 5110</v>
          </cell>
        </row>
        <row r="63">
          <cell r="A63" t="str">
            <v>D'Vine Ripe</v>
          </cell>
          <cell r="B63" t="str">
            <v>670 Germantown Road, Two Wells SA 5501</v>
          </cell>
          <cell r="C63" t="str">
            <v>Alec Kovarik</v>
          </cell>
        </row>
        <row r="64">
          <cell r="A64" t="str">
            <v>Endeavour Foundation</v>
          </cell>
          <cell r="B64" t="str">
            <v>12-14 Keon Parade, Thomastown VIC 3074</v>
          </cell>
        </row>
        <row r="65">
          <cell r="A65" t="str">
            <v>Epicurean Products</v>
          </cell>
          <cell r="B65" t="str">
            <v>13-19 Industrial Place, Yandina QLD 4561</v>
          </cell>
        </row>
        <row r="66">
          <cell r="A66" t="str">
            <v>Fabbris Smallgoods</v>
          </cell>
          <cell r="B66" t="str">
            <v>35 Capital Link Drive, Campbellfield VIC 3061</v>
          </cell>
        </row>
        <row r="67">
          <cell r="A67" t="str">
            <v>Ferraro Dairy Foods</v>
          </cell>
          <cell r="B67" t="str">
            <v>12 Steele Court, Tullamarine VIC 3043</v>
          </cell>
        </row>
        <row r="68">
          <cell r="A68" t="str">
            <v>Flavour Creations</v>
          </cell>
          <cell r="B68" t="str">
            <v>17 Curzon Street, Tennyson QLD 4105</v>
          </cell>
        </row>
        <row r="69">
          <cell r="A69" t="str">
            <v>JBS Food Partners</v>
          </cell>
          <cell r="B69" t="str">
            <v>1 Lock Way, Riverview QLD 4303</v>
          </cell>
          <cell r="C69" t="str">
            <v>Alan Shadford</v>
          </cell>
        </row>
        <row r="70">
          <cell r="A70" t="str">
            <v>Freedom Foods (Dandenong Sth)</v>
          </cell>
          <cell r="B70" t="str">
            <v>73 Monash Drive, Dandenong South VIC 3175</v>
          </cell>
        </row>
        <row r="71">
          <cell r="A71" t="str">
            <v>Freedom Foods (Stanbridge)</v>
          </cell>
          <cell r="B71" t="str">
            <v>379 Murrami Road, Stanbridge NSW 2705</v>
          </cell>
        </row>
        <row r="72">
          <cell r="A72" t="str">
            <v>Fresh Berry Co Pty Ltd</v>
          </cell>
          <cell r="B72" t="str">
            <v>730 Maroondah Highway, Coldstream VIC 3770</v>
          </cell>
        </row>
        <row r="73">
          <cell r="A73" t="str">
            <v>Fresh Salad Packers Pty Ltd</v>
          </cell>
          <cell r="B73" t="str">
            <v>540 Bacchus Marsh Road, Bacchus Marsh VIC 3340</v>
          </cell>
        </row>
        <row r="74">
          <cell r="A74" t="str">
            <v>Gap Solutions Pty Ltd</v>
          </cell>
          <cell r="B74" t="str">
            <v>26 Woodlands Tce, Edwardstown SA 5039</v>
          </cell>
        </row>
        <row r="75">
          <cell r="A75" t="str">
            <v>General Mills Manufacturing</v>
          </cell>
          <cell r="B75" t="str">
            <v>16 Kellogg Road, Rooty Hill NSW 2766</v>
          </cell>
        </row>
        <row r="76">
          <cell r="A76" t="str">
            <v>Gibb Bros Farming Company</v>
          </cell>
          <cell r="B76" t="str">
            <v>12 Allens Road, Peak Crossing QLD 4306</v>
          </cell>
        </row>
        <row r="77">
          <cell r="A77" t="str">
            <v>Gold Medal Snackfoods</v>
          </cell>
          <cell r="B77" t="str">
            <v>19 Bentley St, Wetherill Park NSW 2164</v>
          </cell>
        </row>
        <row r="78">
          <cell r="A78" t="str">
            <v>Grain &amp; Bake Co Australia</v>
          </cell>
          <cell r="B78" t="str">
            <v>2 Duigan Drive, Moorabbin Airport VIC 3194</v>
          </cell>
        </row>
        <row r="79">
          <cell r="A79" t="str">
            <v>Green's Biscuits Pty Ltd</v>
          </cell>
          <cell r="B79" t="str">
            <v>33-37 Mica Street, Carole Park QLD 4300</v>
          </cell>
        </row>
        <row r="80">
          <cell r="A80" t="str">
            <v>Green's General Foods</v>
          </cell>
          <cell r="B80" t="str">
            <v>29 Glendenning Rd, Glendenning NSW 2761</v>
          </cell>
        </row>
        <row r="81">
          <cell r="A81" t="str">
            <v>GSF Australia Pty Ltd</v>
          </cell>
          <cell r="B81" t="str">
            <v>350 Victoria St, Wetherill Park NSW 2164</v>
          </cell>
        </row>
        <row r="82">
          <cell r="A82" t="str">
            <v>Haigh Manufacturing</v>
          </cell>
          <cell r="B82" t="str">
            <v>153 Greenhill Road, Parkside SA 5061</v>
          </cell>
        </row>
        <row r="83">
          <cell r="A83" t="str">
            <v>Harvest Choice Australia</v>
          </cell>
          <cell r="B83" t="str">
            <v>25 Abbott Road, Hallam VIC 3803</v>
          </cell>
        </row>
        <row r="84">
          <cell r="A84" t="str">
            <v>Harvest Freshcuts (Bibra Lake)</v>
          </cell>
          <cell r="B84" t="str">
            <v>109 Discovery Drive, Bibra Lake WA 6163</v>
          </cell>
        </row>
        <row r="85">
          <cell r="A85" t="str">
            <v>Harvest Freshcuts (Wacol)</v>
          </cell>
          <cell r="B85" t="str">
            <v>79 Tile St, Wacol QLD 4076</v>
          </cell>
        </row>
        <row r="86">
          <cell r="A86" t="str">
            <v>Hawken Manufacturing</v>
          </cell>
          <cell r="B86" t="str">
            <v>26 Ebden Street, Moorabbin VIC 3189</v>
          </cell>
        </row>
        <row r="87">
          <cell r="A87" t="str">
            <v>Hazeldenes Chicken Farm</v>
          </cell>
          <cell r="B87" t="str">
            <v>74 Hazeldenes Road, Lockwood VIC 3551</v>
          </cell>
        </row>
        <row r="88">
          <cell r="A88" t="str">
            <v>Heat and Control (Brisbane)</v>
          </cell>
          <cell r="B88" t="str">
            <v>407 Creek Rd, Mount Gravatt East QLD 4122</v>
          </cell>
          <cell r="C88" t="str">
            <v>Andrew Scalia</v>
          </cell>
        </row>
        <row r="89">
          <cell r="A89" t="str">
            <v>Heat and Control (Melbourne)</v>
          </cell>
          <cell r="B89" t="str">
            <v>14 Enterprise Ct, Mulgrave VIC 3170</v>
          </cell>
        </row>
        <row r="90">
          <cell r="A90" t="str">
            <v>Heat and Control (Sydney)</v>
          </cell>
          <cell r="B90" t="str">
            <v>1B Kleins Rd, Northmead NSW 2152</v>
          </cell>
        </row>
        <row r="91">
          <cell r="A91" t="str">
            <v>Homestyle Vegetable Processors</v>
          </cell>
          <cell r="B91" t="str">
            <v>160 Henderson Road, Munster WA 6166</v>
          </cell>
          <cell r="C91" t="str">
            <v>Paul McLernon</v>
          </cell>
        </row>
        <row r="92">
          <cell r="A92" t="str">
            <v>HS Fresh Food (Cambridge)</v>
          </cell>
          <cell r="B92" t="str">
            <v>121 Backhouse Lane, Cambridge TAS 7170</v>
          </cell>
        </row>
        <row r="93">
          <cell r="A93" t="str">
            <v>HS Fresh Food (Rocklea)</v>
          </cell>
          <cell r="B93" t="str">
            <v>Warehouse H Martin Taylor Drive, Rocklea QLD 4106</v>
          </cell>
          <cell r="C93" t="str">
            <v>Lachlan Sherlock</v>
          </cell>
        </row>
        <row r="94">
          <cell r="A94" t="str">
            <v>HS Fresh Food (Wangara)</v>
          </cell>
          <cell r="B94" t="str">
            <v>54 Prestige Parade, Wangara WA 6065</v>
          </cell>
          <cell r="C94" t="str">
            <v>Geoff Goddard</v>
          </cell>
        </row>
        <row r="95">
          <cell r="A95" t="str">
            <v>Hussey &amp; Co Pty Ltd</v>
          </cell>
          <cell r="B95" t="str">
            <v>9 South Boundary Road East, Pearcedale VIC 3912</v>
          </cell>
        </row>
        <row r="96">
          <cell r="A96" t="str">
            <v>Hygiene Packers</v>
          </cell>
          <cell r="B96" t="str">
            <v>25 Kevin Ave, Ferntree Gully VIC 3156</v>
          </cell>
        </row>
        <row r="97">
          <cell r="A97" t="str">
            <v>Ineffable Kiwi Pty Ltd</v>
          </cell>
          <cell r="B97" t="str">
            <v>Shop 2,, Oxley QLD 4075</v>
          </cell>
        </row>
        <row r="98">
          <cell r="A98" t="str">
            <v>Inghams (Lisarow)</v>
          </cell>
          <cell r="B98" t="str">
            <v>Cutrock Rd, Lisarow NSW 2251</v>
          </cell>
        </row>
        <row r="99">
          <cell r="A99" t="str">
            <v>Inghams (Murarrie)</v>
          </cell>
          <cell r="B99" t="str">
            <v>50 Goodman Place, Murarrie QLD 4172</v>
          </cell>
          <cell r="C99" t="str">
            <v>Bobby Ruha</v>
          </cell>
        </row>
        <row r="100">
          <cell r="A100" t="str">
            <v>Inghams (Thomastown)</v>
          </cell>
          <cell r="B100" t="str">
            <v>319 Settlement Rd, Thomastown VIC 3074</v>
          </cell>
        </row>
        <row r="101">
          <cell r="A101" t="str">
            <v>Inglewood Farms</v>
          </cell>
          <cell r="B101" t="str">
            <v>486 Tobacco Road, Inglewood QLD 4387</v>
          </cell>
          <cell r="C101" t="str">
            <v>Andrew Hooker</v>
          </cell>
        </row>
        <row r="102">
          <cell r="A102" t="str">
            <v>JC's Quality Foods Pty Ltd</v>
          </cell>
          <cell r="B102" t="str">
            <v>Lot 1/1490 Ferntree Gully Road, Knoxfield VIC 3180</v>
          </cell>
        </row>
        <row r="103">
          <cell r="A103" t="str">
            <v>Jewel Fine Foods Pty Ltd</v>
          </cell>
          <cell r="B103" t="str">
            <v>15 Coal Pier Road, Banksmeadow NSW 2019</v>
          </cell>
        </row>
        <row r="104">
          <cell r="A104" t="str">
            <v>Kellogg (Aust) Pty Ltd</v>
          </cell>
          <cell r="B104" t="str">
            <v>Top Gate, Swinbourne St &amp;, Botany NSW 2019</v>
          </cell>
        </row>
        <row r="105">
          <cell r="A105" t="str">
            <v>Kerry Ingredients</v>
          </cell>
          <cell r="B105" t="str">
            <v>917 Lytton Rd, Murrarrie QLD 4172</v>
          </cell>
          <cell r="C105" t="str">
            <v>Ross Ingram</v>
          </cell>
        </row>
        <row r="106">
          <cell r="A106" t="str">
            <v>Kilcoy Pastoral Co Ltd</v>
          </cell>
          <cell r="B106" t="str">
            <v>4830 D'Aguilar Highway, Kilcoy QLD 4515</v>
          </cell>
        </row>
        <row r="107">
          <cell r="A107" t="str">
            <v>KL Ballantyne Pty Ltd</v>
          </cell>
          <cell r="B107" t="str">
            <v>39 Ballantyne St, South Melbourne VIC 3205</v>
          </cell>
        </row>
        <row r="108">
          <cell r="A108" t="str">
            <v>La Casa Del Formaggio</v>
          </cell>
          <cell r="B108" t="str">
            <v>35 Sunbeam Road, Glynde SA 5070</v>
          </cell>
          <cell r="C108" t="str">
            <v>Ron Soe</v>
          </cell>
        </row>
        <row r="109">
          <cell r="A109" t="str">
            <v>Lago Smallgoods</v>
          </cell>
          <cell r="B109" t="str">
            <v>14 Military Rd, Broadmeadows VIC 3047</v>
          </cell>
        </row>
        <row r="110">
          <cell r="A110" t="str">
            <v>Laminex Group</v>
          </cell>
          <cell r="B110" t="str">
            <v>Private Mail Bag 2, Gympie QLD 4570</v>
          </cell>
        </row>
        <row r="111">
          <cell r="A111" t="str">
            <v>Langdon Ingredients</v>
          </cell>
          <cell r="B111" t="str">
            <v>525 Mt Derrimut Road, Derrimut VIC 3030</v>
          </cell>
        </row>
        <row r="112">
          <cell r="A112" t="str">
            <v>Lantmannen Unibake</v>
          </cell>
          <cell r="B112" t="str">
            <v>39 Bond Street, Mordialloc VIC 3195</v>
          </cell>
        </row>
        <row r="113">
          <cell r="A113" t="str">
            <v>LD&amp;D Foods Pty Ltd</v>
          </cell>
          <cell r="B113" t="str">
            <v>37-39 Brady Way, Leeton NSW 2705</v>
          </cell>
        </row>
        <row r="114">
          <cell r="A114" t="str">
            <v>Manildra Harwood (Condong.)</v>
          </cell>
          <cell r="B114" t="str">
            <v>Mcleod Street, Condong NSW 2484</v>
          </cell>
        </row>
        <row r="115">
          <cell r="A115" t="str">
            <v>Manildra Harwood (Harwood Is.)</v>
          </cell>
          <cell r="B115" t="str">
            <v>Mill Rd, Harwood Island NSW 2465</v>
          </cell>
        </row>
        <row r="116">
          <cell r="A116" t="str">
            <v>Mansfields Pty Ltd</v>
          </cell>
          <cell r="B116" t="str">
            <v>15 Fiveways Blvd, Keysborough VIC 3173</v>
          </cell>
        </row>
        <row r="117">
          <cell r="A117" t="str">
            <v>Marel Australia Pty Ltd</v>
          </cell>
          <cell r="B117" t="str">
            <v>42 Borthwick Ave, Murarrie QLD 4172</v>
          </cell>
        </row>
        <row r="118">
          <cell r="A118" t="str">
            <v>Mars Birdcare (Wacol)</v>
          </cell>
          <cell r="B118" t="str">
            <v>1351 Boundary Rd, Wacol QLD 4076</v>
          </cell>
          <cell r="C118" t="str">
            <v>Michael Read</v>
          </cell>
        </row>
        <row r="119">
          <cell r="A119" t="str">
            <v>Mars Petcare (Bathurst)</v>
          </cell>
          <cell r="B119" t="str">
            <v>16 Adrienne Street, Bathurst NSW 2795</v>
          </cell>
        </row>
        <row r="120">
          <cell r="A120" t="str">
            <v>Mars Petcare (Wondonga)</v>
          </cell>
          <cell r="B120" t="str">
            <v>1 Petcare Place, Wodonga VIC 3690</v>
          </cell>
        </row>
        <row r="121">
          <cell r="A121" t="str">
            <v>Mars Snackfood (Ballarat)</v>
          </cell>
          <cell r="B121" t="str">
            <v>116 Ring Rd, Wendouree VIC 3355</v>
          </cell>
        </row>
        <row r="122">
          <cell r="A122" t="str">
            <v>Marvel Packers Pty Ltd</v>
          </cell>
          <cell r="B122" t="str">
            <v>24-36 O'Grady Rd, Hallam VIC 3803</v>
          </cell>
        </row>
        <row r="123">
          <cell r="A123" t="str">
            <v>MC Yee Noodles</v>
          </cell>
          <cell r="B123" t="str">
            <v>68 Gibson Avenue, Padstow NSW 2211</v>
          </cell>
        </row>
        <row r="124">
          <cell r="A124" t="str">
            <v>McCain Foods (Aust) Pty Ltd</v>
          </cell>
          <cell r="B124" t="str">
            <v>Pizza Plant, Ring Rd, Wendouree VIC 3355</v>
          </cell>
        </row>
        <row r="125">
          <cell r="A125" t="str">
            <v>Melbourne Chef</v>
          </cell>
          <cell r="B125" t="str">
            <v>33 Barrett Street, Kensington VIC 3031</v>
          </cell>
        </row>
        <row r="126">
          <cell r="A126" t="str">
            <v>Mitavite</v>
          </cell>
          <cell r="B126" t="str">
            <v>3 Pile Road, Somersby NSW 2250</v>
          </cell>
        </row>
        <row r="127">
          <cell r="A127" t="str">
            <v>Mitchell's Quality Foods</v>
          </cell>
          <cell r="B127" t="str">
            <v>18 Buchanan Rd, Banyo QLD 4014</v>
          </cell>
        </row>
        <row r="128">
          <cell r="A128" t="str">
            <v>Monde Nissin Australia</v>
          </cell>
          <cell r="B128" t="str">
            <v>532-534 Clayton Road, Clayton South VIC 3169</v>
          </cell>
        </row>
        <row r="129">
          <cell r="A129" t="str">
            <v>Mondelez Australia (Claremont)</v>
          </cell>
          <cell r="B129" t="str">
            <v>100 Cadbury Road, Claremont TAS 7011</v>
          </cell>
        </row>
        <row r="130">
          <cell r="A130" t="str">
            <v>Mondelez Australia (Ringwood)</v>
          </cell>
          <cell r="B130" t="str">
            <v>323-351 Canterbury Rd, Ringwood VIC 3134</v>
          </cell>
        </row>
        <row r="131">
          <cell r="A131" t="str">
            <v>Moondarra Cheese</v>
          </cell>
          <cell r="B131" t="str">
            <v>Unit 2, Dandenong South VIC 3175</v>
          </cell>
        </row>
        <row r="132">
          <cell r="A132" t="str">
            <v>Mushroom Exchange</v>
          </cell>
          <cell r="B132" t="str">
            <v>45 Cookes Rd, Mernda VIC 3754</v>
          </cell>
        </row>
        <row r="133">
          <cell r="A133" t="str">
            <v>National Pasteurised Eggs</v>
          </cell>
          <cell r="B133" t="str">
            <v>2 Foundation Street, Wellcamp QLD 4350</v>
          </cell>
        </row>
        <row r="134">
          <cell r="A134" t="str">
            <v>Nestle Purina Petcare</v>
          </cell>
          <cell r="B134" t="str">
            <v>Jarman Crescent, Blayney NSW 2799</v>
          </cell>
        </row>
        <row r="135">
          <cell r="A135" t="str">
            <v>New World Foods</v>
          </cell>
          <cell r="B135" t="str">
            <v>6 Foy St, Casino NSW 2470</v>
          </cell>
        </row>
        <row r="136">
          <cell r="A136" t="str">
            <v>Nutradry</v>
          </cell>
          <cell r="B136" t="str">
            <v>28 Navigator Place, Hendra QLD 4011</v>
          </cell>
          <cell r="C136" t="str">
            <v>Joanne Kesur</v>
          </cell>
        </row>
        <row r="137">
          <cell r="A137" t="str">
            <v>Obela</v>
          </cell>
          <cell r="B137" t="str">
            <v>3-7 Norman Crescent, Cavan SA 5094</v>
          </cell>
          <cell r="C137" t="str">
            <v>Shane Brouwer</v>
          </cell>
        </row>
        <row r="138">
          <cell r="A138" t="str">
            <v>Omniblend Pty Ltd</v>
          </cell>
          <cell r="B138" t="str">
            <v>26-28 Bond Street, Mordialloc VIC 3195</v>
          </cell>
        </row>
        <row r="139">
          <cell r="A139" t="str">
            <v>Orchard Manufacturing Co</v>
          </cell>
          <cell r="B139" t="str">
            <v>37 Enterprise Drive, Rowville VIC 3178</v>
          </cell>
        </row>
        <row r="140">
          <cell r="A140" t="str">
            <v>Ore Research &amp; Exploration</v>
          </cell>
          <cell r="B140" t="str">
            <v>37A Hosie Street, Bayswater North VIC 3153</v>
          </cell>
        </row>
        <row r="141">
          <cell r="A141" t="str">
            <v>Organic and Raw</v>
          </cell>
          <cell r="B141" t="str">
            <v>4/8 Jay Drive, Willunga SA 5172</v>
          </cell>
          <cell r="C141" t="str">
            <v>Rob Murray</v>
          </cell>
        </row>
        <row r="142">
          <cell r="A142" t="str">
            <v>Paradise Gourmet Foods Pty Ltd</v>
          </cell>
          <cell r="B142" t="str">
            <v>2 Jayne Court, Dandenong South VIC 3175</v>
          </cell>
        </row>
        <row r="143">
          <cell r="A143" t="str">
            <v>Parwan Valley Mushrooms</v>
          </cell>
          <cell r="B143" t="str">
            <v>535 Aerodrome Road, Parwan VIC 3340</v>
          </cell>
        </row>
        <row r="144">
          <cell r="A144" t="str">
            <v>Patties Foods Ltd</v>
          </cell>
          <cell r="B144" t="str">
            <v>161-169 Princes Hwy, Bairnsdale VIC 3875</v>
          </cell>
        </row>
        <row r="145">
          <cell r="A145" t="str">
            <v>PM Fresh (Colmslie)</v>
          </cell>
          <cell r="B145" t="str">
            <v>11 Manton Street, Colmslie QLD 4170</v>
          </cell>
          <cell r="C145" t="str">
            <v>Michael Exintaris</v>
          </cell>
        </row>
        <row r="146">
          <cell r="A146" t="str">
            <v>PM Fresh (Homebush Bay)</v>
          </cell>
          <cell r="B146" t="str">
            <v>28 Carter St, Homebush Bay NSW 2127</v>
          </cell>
        </row>
        <row r="147">
          <cell r="A147" t="str">
            <v>PM Fresh (O'Connor)</v>
          </cell>
          <cell r="B147" t="str">
            <v>53 Stockdale Road, O'Connor WA 6163</v>
          </cell>
        </row>
        <row r="148">
          <cell r="A148" t="str">
            <v>Primo Smallgoods (Chullora)</v>
          </cell>
          <cell r="B148" t="str">
            <v>18 Hume Hwy, Chullora NSW 2190</v>
          </cell>
        </row>
        <row r="149">
          <cell r="A149" t="str">
            <v>Primo Smallgoods (Wacol)</v>
          </cell>
          <cell r="B149" t="str">
            <v>62 McRoyle Street, Wacol QLD 4076</v>
          </cell>
          <cell r="C149" t="str">
            <v>Rahim Tarr</v>
          </cell>
        </row>
        <row r="150">
          <cell r="A150" t="str">
            <v>Provincial Food Group</v>
          </cell>
          <cell r="B150" t="str">
            <v>435 New Dookie Road, Lemnos VIC 3631</v>
          </cell>
        </row>
        <row r="151">
          <cell r="A151" t="str">
            <v>Puopolo Smallgoods</v>
          </cell>
          <cell r="B151" t="str">
            <v>118-124 Fitzgerald Rd, Laverton North VIC 3028</v>
          </cell>
        </row>
        <row r="152">
          <cell r="A152" t="str">
            <v>Ready Bake</v>
          </cell>
          <cell r="B152" t="str">
            <v>110 Northlink Place, Virginia QLD 4014</v>
          </cell>
        </row>
        <row r="153">
          <cell r="A153" t="str">
            <v>Real Dairy Australia (Braeside)</v>
          </cell>
          <cell r="B153" t="str">
            <v>12-18 Bate Drive, Braeside VIC 3195</v>
          </cell>
        </row>
        <row r="154">
          <cell r="A154" t="str">
            <v>Real Dairy Australia (Darra)</v>
          </cell>
          <cell r="B154" t="str">
            <v>6 Limestone Street, Darra QLD 4076</v>
          </cell>
        </row>
        <row r="155">
          <cell r="A155" t="str">
            <v>Real Pet Food Co. (Dubbo)</v>
          </cell>
          <cell r="B155" t="str">
            <v>Lot 92 Purvis Lane, Dubbo NSW 2830</v>
          </cell>
        </row>
        <row r="156">
          <cell r="A156" t="str">
            <v>Real Pet Food Co. (Ingleburn)</v>
          </cell>
          <cell r="B156" t="str">
            <v>12 Williamson Road, Ingleburn NSW 2565</v>
          </cell>
        </row>
        <row r="157">
          <cell r="A157" t="str">
            <v>Real Pet Food Co. (Ormeau)</v>
          </cell>
          <cell r="B157" t="str">
            <v>77/79 Lahrs Rd, Ormeau  QLD 4208</v>
          </cell>
        </row>
        <row r="158">
          <cell r="A158" t="str">
            <v>Retail Ready Operations</v>
          </cell>
          <cell r="B158" t="str">
            <v>54 Templar Road, Erskine Park NSW 2759</v>
          </cell>
        </row>
        <row r="159">
          <cell r="A159" t="str">
            <v>Ritchies Stores Pty Ltd</v>
          </cell>
          <cell r="B159" t="str">
            <v>10/1095 Frankston Dandenong Rd, Carrum Downs VIC 3201</v>
          </cell>
        </row>
        <row r="160">
          <cell r="A160" t="str">
            <v>Rootz Queensland Pty Ltd</v>
          </cell>
          <cell r="B160" t="str">
            <v>22 Market Drive, Gatton QLD 4343</v>
          </cell>
        </row>
        <row r="161">
          <cell r="A161" t="str">
            <v>Rugby Farm</v>
          </cell>
          <cell r="B161" t="str">
            <v>22 Hood Road, Gatton QLD 4343</v>
          </cell>
          <cell r="C161" t="str">
            <v>Sean Christiansen</v>
          </cell>
        </row>
        <row r="162">
          <cell r="A162" t="str">
            <v>SA &amp; RT Tesoriero</v>
          </cell>
          <cell r="B162" t="str">
            <v>365 Clyde Street, South Granville NSW 2142</v>
          </cell>
        </row>
        <row r="163">
          <cell r="A163" t="str">
            <v>Sabrini Foods</v>
          </cell>
          <cell r="B163" t="str">
            <v>31-35 Lecton Drive, Bangholme VIC 3175</v>
          </cell>
        </row>
        <row r="164">
          <cell r="A164" t="str">
            <v>San Remo Macaroni Co.</v>
          </cell>
          <cell r="B164" t="str">
            <v>4 Boden Ct, Windsor Gardens SA 5087</v>
          </cell>
        </row>
        <row r="165">
          <cell r="A165" t="str">
            <v>Saputo Dairy Australia</v>
          </cell>
          <cell r="B165" t="str">
            <v>18 Yarragon Road, Leongatha VIC 3953</v>
          </cell>
        </row>
        <row r="166">
          <cell r="A166" t="str">
            <v>Scalzo Food (Campbellfield)</v>
          </cell>
          <cell r="B166" t="str">
            <v>21-27 Somerton Park Drive, Campbellfield VIC 3061</v>
          </cell>
          <cell r="C166" t="str">
            <v>Sanil Naidu</v>
          </cell>
        </row>
        <row r="167">
          <cell r="A167" t="str">
            <v>Scalzo Food (West Melbourne)</v>
          </cell>
          <cell r="B167" t="str">
            <v>156-174 Kensington Rd, West Melbourne VIC 3031</v>
          </cell>
          <cell r="C167" t="str">
            <v>Sanil Naidu</v>
          </cell>
        </row>
        <row r="168">
          <cell r="A168" t="str">
            <v>Select Harvests (Thomastown)</v>
          </cell>
          <cell r="B168" t="str">
            <v>360 Settlement Rd, Thomastown VIC 3074</v>
          </cell>
        </row>
        <row r="169">
          <cell r="A169" t="str">
            <v>Select Harvests (Wemen)</v>
          </cell>
          <cell r="B169" t="str">
            <v>4444B Hattah-Robinvale Rd, Wemen VIC 3549</v>
          </cell>
        </row>
        <row r="170">
          <cell r="A170" t="str">
            <v>Select Produce Pty Ltd</v>
          </cell>
          <cell r="B170" t="str">
            <v>Lot 7 Langham Dr, Korumburra VIC 3950</v>
          </cell>
        </row>
        <row r="171">
          <cell r="A171" t="str">
            <v>Simplot Australia (Bathurst)</v>
          </cell>
          <cell r="B171" t="str">
            <v>Cnr Durham &amp; Esrom Sts, Bathurst NSW 2795</v>
          </cell>
        </row>
        <row r="172">
          <cell r="A172" t="str">
            <v>Simplot Australia (Echuca)</v>
          </cell>
          <cell r="B172" t="str">
            <v>Denmark Rd, Echuca VIC 3625</v>
          </cell>
        </row>
        <row r="173">
          <cell r="A173" t="str">
            <v>Simplot Australia (Kelso)</v>
          </cell>
          <cell r="B173" t="str">
            <v>3 Bradford St, Kelso NSW 2795</v>
          </cell>
        </row>
        <row r="174">
          <cell r="A174" t="str">
            <v>Simplot Australia (Quoiba)</v>
          </cell>
          <cell r="B174" t="str">
            <v>81-83 Devonport Rd, Quoiba TAS 7310</v>
          </cell>
        </row>
        <row r="175">
          <cell r="A175" t="str">
            <v>Smith's Snackfood (Regency Park)</v>
          </cell>
          <cell r="B175" t="str">
            <v>553-567 South Rd, Regency Park SA 5010</v>
          </cell>
          <cell r="C175" t="str">
            <v>Russell Moore</v>
          </cell>
        </row>
        <row r="176">
          <cell r="A176" t="str">
            <v>Smith's Snackfood (Tingalpa)</v>
          </cell>
          <cell r="B176" t="str">
            <v>1331 Wynnum Rd, Tingalpa QLD 4173</v>
          </cell>
          <cell r="C176" t="str">
            <v>Steve Ball</v>
          </cell>
        </row>
        <row r="177">
          <cell r="A177" t="str">
            <v>Snack Brands Aust. (Blacktown)</v>
          </cell>
          <cell r="B177" t="str">
            <v>30-32 Bessemer St, Blacktown NSW 2148</v>
          </cell>
        </row>
        <row r="178">
          <cell r="A178" t="str">
            <v>Snack Brands Aust. (Smithfield)</v>
          </cell>
          <cell r="B178" t="str">
            <v>15-21 Britton St, Smithfield NSW 2164</v>
          </cell>
        </row>
        <row r="179">
          <cell r="A179" t="str">
            <v>Stagono Pty Ltd</v>
          </cell>
          <cell r="B179" t="str">
            <v>10-20 Norfolk Court, Coburg VIC 3058</v>
          </cell>
        </row>
        <row r="180">
          <cell r="A180" t="str">
            <v>Stahmann Farms Enterprises</v>
          </cell>
          <cell r="B180" t="str">
            <v>193 Mcdougall Street, Toowoomba QLD 4350</v>
          </cell>
        </row>
        <row r="181">
          <cell r="A181" t="str">
            <v>Start typing then use drop-down</v>
          </cell>
        </row>
        <row r="182">
          <cell r="A182" t="str">
            <v>Steggall Nutrition Pty Ltd</v>
          </cell>
          <cell r="B182" t="str">
            <v>5-511 Tarragindi Road, Salisbury QLD 4107</v>
          </cell>
        </row>
        <row r="183">
          <cell r="A183" t="str">
            <v>Steggles Foods</v>
          </cell>
          <cell r="B183" t="str">
            <v>4-6 Mundowi Rd, Mount Kuring-Gai NSW 2080</v>
          </cell>
        </row>
        <row r="184">
          <cell r="A184" t="str">
            <v>Steric Trading Pty Ltd</v>
          </cell>
          <cell r="B184" t="str">
            <v>33-61 Malta Street, Villawood NSW 2163</v>
          </cell>
        </row>
        <row r="185">
          <cell r="A185" t="str">
            <v>Sugar Australia (Glebe Island)</v>
          </cell>
          <cell r="B185" t="str">
            <v>Glebe Sugar Packing, Glebe Island NSW 2037</v>
          </cell>
          <cell r="C185" t="str">
            <v>Tim Attwood</v>
          </cell>
        </row>
        <row r="186">
          <cell r="A186" t="str">
            <v>Sugar Australia (Yarraville)</v>
          </cell>
          <cell r="B186" t="str">
            <v>265 Whitehall St, Yarraville VIC 3013</v>
          </cell>
        </row>
        <row r="187">
          <cell r="A187" t="str">
            <v>Sunrice</v>
          </cell>
          <cell r="B187" t="str">
            <v>Nip 37 Yanco Ave, Leeton NSW 2705</v>
          </cell>
        </row>
        <row r="188">
          <cell r="A188" t="str">
            <v>Sunstate Meat Products</v>
          </cell>
          <cell r="B188" t="str">
            <v>Unit 1, 9 Production Avenue, Warana QLD 4575</v>
          </cell>
        </row>
        <row r="189">
          <cell r="A189" t="str">
            <v>Supreme Quality Foods</v>
          </cell>
          <cell r="B189" t="str">
            <v>41-43 Boileau Street, Keysborough VIC 3173</v>
          </cell>
        </row>
        <row r="190">
          <cell r="A190" t="str">
            <v>Taste Fine Foods</v>
          </cell>
          <cell r="B190" t="str">
            <v>263 King Street, Mascot NSW 2020</v>
          </cell>
        </row>
        <row r="191">
          <cell r="A191" t="str">
            <v>Terra Harvest Australia</v>
          </cell>
          <cell r="B191" t="str">
            <v>1 Southpark Dr, Dandenong VIC 3175</v>
          </cell>
        </row>
        <row r="192">
          <cell r="A192" t="str">
            <v>Test Company (1)</v>
          </cell>
          <cell r="B192" t="str">
            <v>18 Nundah Street, Kedron QLD 4030</v>
          </cell>
          <cell r="C192" t="str">
            <v>Terry Lamb</v>
          </cell>
        </row>
        <row r="193">
          <cell r="A193" t="str">
            <v>Test Company (2)</v>
          </cell>
          <cell r="B193" t="str">
            <v>123 Champ Road, Mulgrave VIC 3170</v>
          </cell>
          <cell r="C193" t="str">
            <v>John Sattler</v>
          </cell>
        </row>
        <row r="194">
          <cell r="A194" t="str">
            <v>Teys Australia Tamworth</v>
          </cell>
          <cell r="B194" t="str">
            <v>32-90 Phoenix Street, Tamworth NSW 2340</v>
          </cell>
        </row>
        <row r="195">
          <cell r="A195" t="str">
            <v>The Kurrajong Kitchen Group</v>
          </cell>
          <cell r="B195" t="str">
            <v>82 Argyle Street, Windsor NSW 2756</v>
          </cell>
        </row>
        <row r="196">
          <cell r="A196" t="str">
            <v>The Lolly Bag Co</v>
          </cell>
          <cell r="B196" t="str">
            <v>Unit 3/23 Londor Close, Hemmant QLD 4157</v>
          </cell>
        </row>
        <row r="197">
          <cell r="A197" t="str">
            <v>The No Nasties Icicle Project</v>
          </cell>
          <cell r="B197" t="str">
            <v>2/75A Chapel Street, Windsor VIC 3181</v>
          </cell>
        </row>
        <row r="198">
          <cell r="A198" t="str">
            <v>The Wrigley Company</v>
          </cell>
          <cell r="B198" t="str">
            <v>48 Michigan Avenue, Asquith NSW 2077</v>
          </cell>
        </row>
        <row r="199">
          <cell r="A199" t="str">
            <v>Trumps Pty Ltd (Acacia Ridge)</v>
          </cell>
          <cell r="B199" t="str">
            <v>27 Overlord Place, Acacia Ridge QLD 4110</v>
          </cell>
          <cell r="C199" t="str">
            <v>Stewart Mealy</v>
          </cell>
        </row>
        <row r="200">
          <cell r="A200" t="str">
            <v>Trumps Pty Ltd (Archerfield)</v>
          </cell>
          <cell r="B200" t="str">
            <v>16 Brecknock Street, Archerfield QLD 4108</v>
          </cell>
          <cell r="C200" t="str">
            <v>Jodi Ugljesa</v>
          </cell>
        </row>
        <row r="201">
          <cell r="A201" t="str">
            <v>Trumps Pty Ltd (Rocklea)</v>
          </cell>
          <cell r="B201" t="str">
            <v>23 Permarig Place, Rocklea QLD 4106</v>
          </cell>
          <cell r="C201" t="str">
            <v>Gavin Devine</v>
          </cell>
        </row>
        <row r="202">
          <cell r="A202" t="str">
            <v>Turosi (Broadmeadows)</v>
          </cell>
          <cell r="B202" t="str">
            <v>6 Military Road, Broadmeadows VIC 3047</v>
          </cell>
        </row>
        <row r="203">
          <cell r="A203" t="str">
            <v>Turosi (Eagle Farm)</v>
          </cell>
          <cell r="B203" t="str">
            <v>28-32 Qantas Dr, Eagle Farm QLD 4009</v>
          </cell>
          <cell r="C203" t="str">
            <v>Stefania Demarchi</v>
          </cell>
        </row>
        <row r="204">
          <cell r="A204" t="str">
            <v>Tweed Bait Pty Ltd</v>
          </cell>
          <cell r="B204" t="str">
            <v>26 Industry Dr, South Tweed Heads NSW 2486</v>
          </cell>
        </row>
        <row r="205">
          <cell r="A205" t="str">
            <v>Twinings and Co.</v>
          </cell>
          <cell r="B205" t="str">
            <v>35-37 South Corporate Avenue, Rowville VIC 3178</v>
          </cell>
        </row>
        <row r="206">
          <cell r="A206" t="str">
            <v>Unilever Australia (Minto)</v>
          </cell>
          <cell r="B206" t="str">
            <v>2 Magnum Place, Minto NSW 2566</v>
          </cell>
        </row>
        <row r="207">
          <cell r="A207" t="str">
            <v>Unilever Australia (Tatura)</v>
          </cell>
          <cell r="B207" t="str">
            <v>Park St, Tatura VIC 3616</v>
          </cell>
        </row>
        <row r="208">
          <cell r="A208" t="str">
            <v>Vege Chip Co. Pty Ltd</v>
          </cell>
          <cell r="B208" t="str">
            <v>21 Villiers Dr, Currumbin Waters QLD 4223</v>
          </cell>
        </row>
        <row r="209">
          <cell r="A209" t="str">
            <v>Vetalogica  Manufacturing</v>
          </cell>
          <cell r="B209" t="str">
            <v>50 Elizabeth Street, Wetherill Park NSW 2164</v>
          </cell>
        </row>
        <row r="210">
          <cell r="A210" t="str">
            <v>Warrnambool Cheese &amp; Butter</v>
          </cell>
          <cell r="B210" t="str">
            <v>5331 Great Ocean Road, Allansford VIC 3277</v>
          </cell>
        </row>
        <row r="211">
          <cell r="A211" t="str">
            <v>Western Meat Exporters</v>
          </cell>
          <cell r="B211" t="str">
            <v>Lot 60 Warrego Hwy, Charleville QLD 4470</v>
          </cell>
        </row>
        <row r="212">
          <cell r="A212" t="str">
            <v>Wholesale Pressed</v>
          </cell>
          <cell r="B212" t="str">
            <v>88 Burke Road, Malvern East VIC 3145</v>
          </cell>
        </row>
        <row r="213">
          <cell r="A213" t="str">
            <v>Wickham Farms</v>
          </cell>
          <cell r="B213" t="str">
            <v>38-40 Condamine River Road, Killarney QLD 4373</v>
          </cell>
          <cell r="C213" t="str">
            <v>John Towells</v>
          </cell>
        </row>
        <row r="214">
          <cell r="A214" t="str">
            <v>Wild Breads Pty Ltd</v>
          </cell>
          <cell r="B214" t="str">
            <v>89 Harcourt Road, Darra QLD 4076</v>
          </cell>
        </row>
        <row r="215">
          <cell r="A215" t="str">
            <v>Yarra Valley Snack Foods</v>
          </cell>
          <cell r="B215" t="str">
            <v>Factory 45, Lilydale VIC 3140</v>
          </cell>
        </row>
        <row r="216">
          <cell r="A216" t="str">
            <v>Yates Australia</v>
          </cell>
          <cell r="B216" t="str">
            <v>9 Coventry Place, Mt Druitt NSW 2770</v>
          </cell>
        </row>
        <row r="217">
          <cell r="A217" t="str">
            <v>Mt Barker Chicken</v>
          </cell>
          <cell r="B217" t="str">
            <v>2 Alumina Road, East Rockingham WA 6168</v>
          </cell>
          <cell r="C217" t="str">
            <v>Morne Kotze</v>
          </cell>
        </row>
        <row r="218">
          <cell r="A218" t="str">
            <v>Karradale Meats</v>
          </cell>
          <cell r="B218" t="str">
            <v>16/2 Powell St, Osborne Park WA 6017</v>
          </cell>
          <cell r="C218" t="str">
            <v>Robert Tomeo</v>
          </cell>
        </row>
        <row r="219">
          <cell r="A219" t="str">
            <v>The Country Chef Bakery Co.</v>
          </cell>
          <cell r="B219" t="str">
            <v>7 Hi-Tech Drive, Kunda Park QLD 4556</v>
          </cell>
          <cell r="C219" t="str">
            <v>Michael Robson</v>
          </cell>
        </row>
        <row r="220">
          <cell r="A220" t="str">
            <v>Unifresh</v>
          </cell>
          <cell r="B220" t="str">
            <v>64 Ninth Avenue, Woodville SA 5012</v>
          </cell>
          <cell r="C220" t="str">
            <v>Phil Haddad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247" Type="http://schemas.openxmlformats.org/officeDocument/2006/relationships/ctrlProp" Target="../ctrlProps/ctrlProp243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48" Type="http://schemas.openxmlformats.org/officeDocument/2006/relationships/ctrlProp" Target="../ctrlProps/ctrlProp244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249" Type="http://schemas.openxmlformats.org/officeDocument/2006/relationships/ctrlProp" Target="../ctrlProps/ctrlProp245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50" Type="http://schemas.openxmlformats.org/officeDocument/2006/relationships/ctrlProp" Target="../ctrlProps/ctrlProp246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1" Type="http://schemas.openxmlformats.org/officeDocument/2006/relationships/ctrlProp" Target="../ctrlProps/ctrlProp247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78" Type="http://schemas.openxmlformats.org/officeDocument/2006/relationships/ctrlProp" Target="../ctrlProps/ctrlProp74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64" Type="http://schemas.openxmlformats.org/officeDocument/2006/relationships/ctrlProp" Target="../ctrlProps/ctrlProp160.xml"/><Relationship Id="rId185" Type="http://schemas.openxmlformats.org/officeDocument/2006/relationships/ctrlProp" Target="../ctrlProps/ctrlProp181.xml"/><Relationship Id="rId9" Type="http://schemas.openxmlformats.org/officeDocument/2006/relationships/ctrlProp" Target="../ctrlProps/ctrlProp5.xml"/><Relationship Id="rId210" Type="http://schemas.openxmlformats.org/officeDocument/2006/relationships/ctrlProp" Target="../ctrlProps/ctrlProp206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252" Type="http://schemas.openxmlformats.org/officeDocument/2006/relationships/ctrlProp" Target="../ctrlProps/ctrlProp248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53" Type="http://schemas.openxmlformats.org/officeDocument/2006/relationships/ctrlProp" Target="../ctrlProps/ctrlProp249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54" Type="http://schemas.openxmlformats.org/officeDocument/2006/relationships/ctrlProp" Target="../ctrlProps/ctrlProp250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5.xml"/><Relationship Id="rId255" Type="http://schemas.openxmlformats.org/officeDocument/2006/relationships/ctrlProp" Target="../ctrlProps/ctrlProp251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256" Type="http://schemas.openxmlformats.org/officeDocument/2006/relationships/ctrlProp" Target="../ctrlProps/ctrlProp252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246" Type="http://schemas.openxmlformats.org/officeDocument/2006/relationships/ctrlProp" Target="../ctrlProps/ctrlProp242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94" Type="http://schemas.openxmlformats.org/officeDocument/2006/relationships/ctrlProp" Target="../ctrlProps/ctrlProp90.xml"/><Relationship Id="rId148" Type="http://schemas.openxmlformats.org/officeDocument/2006/relationships/ctrlProp" Target="../ctrlProps/ctrlProp144.xml"/><Relationship Id="rId169" Type="http://schemas.openxmlformats.org/officeDocument/2006/relationships/ctrlProp" Target="../ctrlProps/ctrlProp165.xml"/><Relationship Id="rId4" Type="http://schemas.openxmlformats.org/officeDocument/2006/relationships/vmlDrawing" Target="../drawings/vmlDrawing2.vml"/><Relationship Id="rId180" Type="http://schemas.openxmlformats.org/officeDocument/2006/relationships/ctrlProp" Target="../ctrlProps/ctrlProp17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57" Type="http://schemas.openxmlformats.org/officeDocument/2006/relationships/ctrlProp" Target="../ctrlProps/ctrlProp25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42" Type="http://schemas.openxmlformats.org/officeDocument/2006/relationships/ctrlProp" Target="../ctrlProps/ctrlProp291.xml"/><Relationship Id="rId47" Type="http://schemas.openxmlformats.org/officeDocument/2006/relationships/ctrlProp" Target="../ctrlProps/ctrlProp296.xml"/><Relationship Id="rId7" Type="http://schemas.openxmlformats.org/officeDocument/2006/relationships/ctrlProp" Target="../ctrlProps/ctrlProp25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65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40" Type="http://schemas.openxmlformats.org/officeDocument/2006/relationships/ctrlProp" Target="../ctrlProps/ctrlProp289.xml"/><Relationship Id="rId45" Type="http://schemas.openxmlformats.org/officeDocument/2006/relationships/ctrlProp" Target="../ctrlProps/ctrlProp294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4" Type="http://schemas.openxmlformats.org/officeDocument/2006/relationships/ctrlProp" Target="../ctrlProps/ctrlProp29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43" Type="http://schemas.openxmlformats.org/officeDocument/2006/relationships/ctrlProp" Target="../ctrlProps/ctrlProp292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46" Type="http://schemas.openxmlformats.org/officeDocument/2006/relationships/ctrlProp" Target="../ctrlProps/ctrlProp295.xml"/><Relationship Id="rId20" Type="http://schemas.openxmlformats.org/officeDocument/2006/relationships/ctrlProp" Target="../ctrlProps/ctrlProp269.xml"/><Relationship Id="rId41" Type="http://schemas.openxmlformats.org/officeDocument/2006/relationships/ctrlProp" Target="../ctrlProps/ctrlProp29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J8"/>
  <sheetViews>
    <sheetView showRowColHeaders="0" zoomScaleNormal="100" workbookViewId="0">
      <selection activeCell="ZZ200" sqref="ZZ200"/>
    </sheetView>
  </sheetViews>
  <sheetFormatPr defaultColWidth="0" defaultRowHeight="14.4" zeroHeight="1" x14ac:dyDescent="0.3"/>
  <cols>
    <col min="1" max="9" width="9.109375" customWidth="1"/>
    <col min="10" max="10" width="0.109375" customWidth="1"/>
    <col min="11" max="16384" width="9.109375" hidden="1"/>
  </cols>
  <sheetData>
    <row r="1" spans="1:9" x14ac:dyDescent="0.3">
      <c r="A1" s="40" t="s">
        <v>9</v>
      </c>
      <c r="B1" s="41"/>
      <c r="C1" s="41"/>
      <c r="D1" s="41"/>
      <c r="E1" s="41"/>
      <c r="F1" s="41"/>
      <c r="G1" s="41"/>
      <c r="H1" s="41"/>
      <c r="I1" s="42"/>
    </row>
    <row r="2" spans="1:9" x14ac:dyDescent="0.3">
      <c r="A2" s="43"/>
      <c r="B2" s="44"/>
      <c r="C2" s="44"/>
      <c r="D2" s="44"/>
      <c r="E2" s="44"/>
      <c r="F2" s="44"/>
      <c r="G2" s="44"/>
      <c r="H2" s="44"/>
      <c r="I2" s="45"/>
    </row>
    <row r="3" spans="1:9" x14ac:dyDescent="0.3">
      <c r="A3" s="43"/>
      <c r="B3" s="44"/>
      <c r="C3" s="44"/>
      <c r="D3" s="44"/>
      <c r="E3" s="44"/>
      <c r="F3" s="44"/>
      <c r="G3" s="44"/>
      <c r="H3" s="44"/>
      <c r="I3" s="45"/>
    </row>
    <row r="4" spans="1:9" x14ac:dyDescent="0.3">
      <c r="A4" s="43"/>
      <c r="B4" s="44"/>
      <c r="C4" s="44"/>
      <c r="D4" s="44"/>
      <c r="E4" s="44"/>
      <c r="F4" s="44"/>
      <c r="G4" s="44"/>
      <c r="H4" s="44"/>
      <c r="I4" s="45"/>
    </row>
    <row r="5" spans="1:9" x14ac:dyDescent="0.3">
      <c r="A5" s="46"/>
      <c r="B5" s="47"/>
      <c r="C5" s="47"/>
      <c r="D5" s="47"/>
      <c r="E5" s="47"/>
      <c r="F5" s="47"/>
      <c r="G5" s="47"/>
      <c r="H5" s="47"/>
      <c r="I5" s="48"/>
    </row>
    <row r="6" spans="1:9" x14ac:dyDescent="0.3">
      <c r="A6" s="49" t="s">
        <v>10</v>
      </c>
      <c r="B6" s="50"/>
      <c r="C6" s="50"/>
      <c r="D6" s="50"/>
      <c r="E6" s="50"/>
      <c r="F6" s="50"/>
      <c r="G6" s="50"/>
      <c r="H6" s="50"/>
      <c r="I6" s="51"/>
    </row>
    <row r="7" spans="1:9" x14ac:dyDescent="0.3">
      <c r="A7" s="52"/>
      <c r="B7" s="53"/>
      <c r="C7" s="53"/>
      <c r="D7" s="53"/>
      <c r="E7" s="53"/>
      <c r="F7" s="53"/>
      <c r="G7" s="53"/>
      <c r="H7" s="53"/>
      <c r="I7" s="54"/>
    </row>
    <row r="8" spans="1:9" ht="0.15" customHeight="1" x14ac:dyDescent="0.3">
      <c r="A8" s="55" t="s">
        <v>11</v>
      </c>
      <c r="B8" s="56"/>
      <c r="C8" s="56"/>
      <c r="D8" s="56"/>
      <c r="E8" s="56"/>
      <c r="F8" s="56"/>
      <c r="G8" s="56"/>
      <c r="H8" s="56"/>
      <c r="I8" s="56"/>
    </row>
  </sheetData>
  <sheetProtection algorithmName="SHA-512" hashValue="6PxF/aqCkl69hSwKs63gkypWgaMjwu/KbeLxYrNClfeZ6wGptXPcQ3KFdWwVZWIa3/Gyg2z+sMsHlLtAGvfYDQ==" saltValue="phkStfk39LCpEGfI0zSJ1A==" spinCount="100000" sheet="1" objects="1" scenarios="1" selectLockedCells="1" selectUnlockedCells="1"/>
  <mergeCells count="3">
    <mergeCell ref="A1:I5"/>
    <mergeCell ref="A6:I7"/>
    <mergeCell ref="A8:I8"/>
  </mergeCells>
  <pageMargins left="0.7" right="0.7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XFA301"/>
  <sheetViews>
    <sheetView showGridLines="0" showRowColHeaders="0" tabSelected="1" zoomScaleNormal="100" zoomScaleSheetLayoutView="100" workbookViewId="0">
      <selection activeCell="B1" sqref="B1:C1"/>
    </sheetView>
  </sheetViews>
  <sheetFormatPr defaultColWidth="0" defaultRowHeight="0" customHeight="1" zeroHeight="1" x14ac:dyDescent="0.3"/>
  <cols>
    <col min="1" max="1" width="16.44140625" style="3" bestFit="1" customWidth="1"/>
    <col min="2" max="2" width="30.33203125" style="3" customWidth="1"/>
    <col min="3" max="5" width="4" style="3" customWidth="1"/>
    <col min="6" max="6" width="8.33203125" style="3" customWidth="1"/>
    <col min="7" max="7" width="18.33203125" style="3" customWidth="1"/>
    <col min="8" max="8" width="16.109375" style="3" customWidth="1"/>
    <col min="9" max="9" width="0.44140625" style="2" customWidth="1"/>
    <col min="10" max="12" width="9.109375" style="19" hidden="1"/>
    <col min="13" max="16" width="9.109375" style="21" hidden="1"/>
    <col min="17" max="17" width="9.109375" style="19" hidden="1"/>
    <col min="18" max="701" width="9.109375" style="21" hidden="1"/>
    <col min="702" max="702" width="12.88671875" style="22" hidden="1"/>
    <col min="703" max="16381" width="0" style="21" hidden="1"/>
    <col min="16382" max="16384" width="9.109375" style="21" hidden="1"/>
  </cols>
  <sheetData>
    <row r="1" spans="1:702" ht="20.100000000000001" customHeight="1" x14ac:dyDescent="0.3">
      <c r="A1" s="1" t="s">
        <v>0</v>
      </c>
      <c r="B1" s="59" t="s">
        <v>78</v>
      </c>
      <c r="C1" s="60"/>
      <c r="D1" s="81" t="s">
        <v>1</v>
      </c>
      <c r="E1" s="82"/>
      <c r="F1" s="83"/>
      <c r="G1" s="84">
        <f ca="1">TODAY()</f>
        <v>44851</v>
      </c>
      <c r="H1" s="84"/>
      <c r="L1" s="20"/>
      <c r="Q1" s="19">
        <f>IF(AND(CustData!E1&lt;&gt;CustData!F1)*(CustData!E1&gt;2),1,0)</f>
        <v>1</v>
      </c>
      <c r="R1" s="21" t="s">
        <v>83</v>
      </c>
      <c r="S1" s="21" t="str">
        <f>IF(B1&lt;&gt;0,B1,"")</f>
        <v>Start typing then use drop-down</v>
      </c>
      <c r="YY1" s="21">
        <v>0</v>
      </c>
    </row>
    <row r="2" spans="1:702" ht="20.100000000000001" customHeight="1" x14ac:dyDescent="0.3">
      <c r="A2" s="7" t="s">
        <v>7</v>
      </c>
      <c r="B2" s="59" t="s">
        <v>82</v>
      </c>
      <c r="C2" s="60"/>
      <c r="D2" s="60"/>
      <c r="E2" s="60"/>
      <c r="F2" s="60"/>
      <c r="G2" s="60"/>
      <c r="H2" s="61"/>
      <c r="J2" s="19" t="str">
        <f>CONCATENATE(J5,J6)</f>
        <v xml:space="preserve"> -  - #</v>
      </c>
      <c r="L2" s="20"/>
      <c r="R2" s="21" t="s">
        <v>84</v>
      </c>
      <c r="S2" s="101" t="str">
        <f>IF(_xlfn._xlws.FILTER([1]Details!$B$2:$B$500,[1]Details!$A$2:$A$500=B1,"")&lt;&gt;0,_xlfn._xlws.FILTER([1]Details!$B$2:$B$500,[1]Details!$A$2:$A$500=B1,""),"")</f>
        <v/>
      </c>
      <c r="T2" s="101"/>
      <c r="U2" s="101"/>
      <c r="V2" s="101"/>
      <c r="W2" s="101"/>
      <c r="X2" s="101"/>
      <c r="Y2" s="101"/>
    </row>
    <row r="3" spans="1:702" ht="20.100000000000001" customHeight="1" x14ac:dyDescent="0.3">
      <c r="A3" s="1" t="s">
        <v>2</v>
      </c>
      <c r="B3" s="75" t="s">
        <v>82</v>
      </c>
      <c r="C3" s="61"/>
      <c r="D3" s="81" t="s">
        <v>6</v>
      </c>
      <c r="E3" s="82"/>
      <c r="F3" s="83"/>
      <c r="G3" s="76"/>
      <c r="H3" s="69"/>
      <c r="R3" s="21" t="s">
        <v>85</v>
      </c>
      <c r="S3" s="101" t="str">
        <f>IF(_xlfn._xlws.FILTER([1]Details!$C$2:$C$500,[1]Details!$A$2:$A$500=B1,"")&lt;&gt;0,_xlfn._xlws.FILTER([1]Details!$C$2:$C$500,[1]Details!$A$2:$A$500=B1,""),"")</f>
        <v/>
      </c>
      <c r="T3" s="101"/>
    </row>
    <row r="4" spans="1:702" ht="20.100000000000001" customHeight="1" x14ac:dyDescent="0.3">
      <c r="A4" s="1" t="s">
        <v>4</v>
      </c>
      <c r="B4" s="59"/>
      <c r="C4" s="61"/>
      <c r="D4" s="81" t="s">
        <v>3</v>
      </c>
      <c r="E4" s="82"/>
      <c r="F4" s="83"/>
      <c r="G4" s="62"/>
      <c r="H4" s="62"/>
    </row>
    <row r="5" spans="1:702" ht="20.100000000000001" customHeight="1" x14ac:dyDescent="0.3">
      <c r="A5" s="1" t="s">
        <v>8</v>
      </c>
      <c r="B5" s="75"/>
      <c r="C5" s="61"/>
      <c r="D5" s="81" t="s">
        <v>5</v>
      </c>
      <c r="E5" s="82"/>
      <c r="F5" s="83"/>
      <c r="G5" s="62"/>
      <c r="H5" s="62"/>
      <c r="J5" s="19" t="str">
        <f>IF(B6&lt;&gt;"N/A"," - "&amp;B6,"")</f>
        <v xml:space="preserve"> - </v>
      </c>
    </row>
    <row r="6" spans="1:702" ht="20.100000000000001" customHeight="1" x14ac:dyDescent="0.3">
      <c r="A6" s="1" t="s">
        <v>16</v>
      </c>
      <c r="B6" s="59"/>
      <c r="C6" s="61"/>
      <c r="D6" s="81" t="s">
        <v>17</v>
      </c>
      <c r="E6" s="82"/>
      <c r="F6" s="83"/>
      <c r="G6" s="80"/>
      <c r="H6" s="62"/>
      <c r="J6" s="19" t="str">
        <f>IF(G6&lt;&gt;"N/A"," - #"&amp;G6,"")</f>
        <v xml:space="preserve"> - #</v>
      </c>
    </row>
    <row r="7" spans="1:702" ht="15.9" customHeight="1" x14ac:dyDescent="0.3">
      <c r="A7" s="79"/>
      <c r="B7" s="79"/>
      <c r="C7" s="79"/>
      <c r="D7" s="79"/>
      <c r="E7" s="79"/>
      <c r="F7" s="79"/>
      <c r="G7" s="79"/>
      <c r="H7" s="79"/>
      <c r="J7" s="22"/>
      <c r="K7" s="22" t="str">
        <f ca="1">ZZ98</f>
        <v>Y22M10D17 - Start typing then use drop-down -  -  -  - # - DACS Inspection Report</v>
      </c>
      <c r="ZZ7" s="39">
        <v>44711</v>
      </c>
    </row>
    <row r="8" spans="1:702" ht="20.100000000000001" customHeight="1" x14ac:dyDescent="0.3">
      <c r="A8" s="87" t="s">
        <v>29</v>
      </c>
      <c r="B8" s="88"/>
      <c r="C8" s="88"/>
      <c r="D8" s="88"/>
      <c r="E8" s="88"/>
      <c r="F8" s="88"/>
      <c r="G8" s="88"/>
      <c r="H8" s="89"/>
      <c r="K8" s="37"/>
      <c r="ZZ8" s="37" t="str">
        <f>TEXT(ZZ7,"dd")</f>
        <v>30</v>
      </c>
    </row>
    <row r="9" spans="1:702" ht="20.100000000000001" customHeight="1" x14ac:dyDescent="0.3">
      <c r="A9" s="90"/>
      <c r="B9" s="91"/>
      <c r="C9" s="91"/>
      <c r="D9" s="91"/>
      <c r="E9" s="91"/>
      <c r="F9" s="91"/>
      <c r="G9" s="91"/>
      <c r="H9" s="92"/>
      <c r="ZZ9" s="37">
        <f>(ZZ8+1235)*(ZZ8+5321)</f>
        <v>6769015</v>
      </c>
    </row>
    <row r="10" spans="1:702" ht="20.100000000000001" customHeight="1" x14ac:dyDescent="0.3">
      <c r="A10" s="93"/>
      <c r="B10" s="94"/>
      <c r="C10" s="94"/>
      <c r="D10" s="94"/>
      <c r="E10" s="94"/>
      <c r="F10" s="94"/>
      <c r="G10" s="94"/>
      <c r="H10" s="95"/>
    </row>
    <row r="11" spans="1:702" ht="20.100000000000001" customHeight="1" x14ac:dyDescent="0.3">
      <c r="A11" s="93"/>
      <c r="B11" s="94"/>
      <c r="C11" s="94"/>
      <c r="D11" s="94"/>
      <c r="E11" s="94"/>
      <c r="F11" s="94"/>
      <c r="G11" s="94"/>
      <c r="H11" s="95"/>
    </row>
    <row r="12" spans="1:702" ht="20.100000000000001" customHeight="1" x14ac:dyDescent="0.3">
      <c r="A12" s="93"/>
      <c r="B12" s="94"/>
      <c r="C12" s="94"/>
      <c r="D12" s="94"/>
      <c r="E12" s="94"/>
      <c r="F12" s="94"/>
      <c r="G12" s="94"/>
      <c r="H12" s="95"/>
    </row>
    <row r="13" spans="1:702" ht="20.100000000000001" customHeight="1" x14ac:dyDescent="0.3">
      <c r="A13" s="93"/>
      <c r="B13" s="94"/>
      <c r="C13" s="94"/>
      <c r="D13" s="94"/>
      <c r="E13" s="94"/>
      <c r="F13" s="94"/>
      <c r="G13" s="94"/>
      <c r="H13" s="95"/>
    </row>
    <row r="14" spans="1:702" ht="20.100000000000001" customHeight="1" x14ac:dyDescent="0.3">
      <c r="A14" s="93"/>
      <c r="B14" s="94"/>
      <c r="C14" s="94"/>
      <c r="D14" s="94"/>
      <c r="E14" s="94"/>
      <c r="F14" s="94"/>
      <c r="G14" s="94"/>
      <c r="H14" s="95"/>
    </row>
    <row r="15" spans="1:702" ht="20.100000000000001" customHeight="1" x14ac:dyDescent="0.3">
      <c r="A15" s="93"/>
      <c r="B15" s="94"/>
      <c r="C15" s="94"/>
      <c r="D15" s="94"/>
      <c r="E15" s="94"/>
      <c r="F15" s="94"/>
      <c r="G15" s="94"/>
      <c r="H15" s="95"/>
    </row>
    <row r="16" spans="1:702" ht="20.100000000000001" customHeight="1" x14ac:dyDescent="0.3">
      <c r="A16" s="93"/>
      <c r="B16" s="94"/>
      <c r="C16" s="94"/>
      <c r="D16" s="94"/>
      <c r="E16" s="94"/>
      <c r="F16" s="94"/>
      <c r="G16" s="94"/>
      <c r="H16" s="95"/>
    </row>
    <row r="17" spans="1:8" ht="20.100000000000001" customHeight="1" x14ac:dyDescent="0.3">
      <c r="A17" s="93"/>
      <c r="B17" s="94"/>
      <c r="C17" s="94"/>
      <c r="D17" s="94"/>
      <c r="E17" s="94"/>
      <c r="F17" s="94"/>
      <c r="G17" s="94"/>
      <c r="H17" s="95"/>
    </row>
    <row r="18" spans="1:8" ht="20.100000000000001" customHeight="1" x14ac:dyDescent="0.3">
      <c r="A18" s="93"/>
      <c r="B18" s="94"/>
      <c r="C18" s="94"/>
      <c r="D18" s="94"/>
      <c r="E18" s="94"/>
      <c r="F18" s="94"/>
      <c r="G18" s="94"/>
      <c r="H18" s="95"/>
    </row>
    <row r="19" spans="1:8" ht="20.100000000000001" customHeight="1" x14ac:dyDescent="0.3">
      <c r="A19" s="93"/>
      <c r="B19" s="94"/>
      <c r="C19" s="94"/>
      <c r="D19" s="94"/>
      <c r="E19" s="94"/>
      <c r="F19" s="94"/>
      <c r="G19" s="94"/>
      <c r="H19" s="95"/>
    </row>
    <row r="20" spans="1:8" ht="20.100000000000001" customHeight="1" x14ac:dyDescent="0.3">
      <c r="A20" s="93"/>
      <c r="B20" s="94"/>
      <c r="C20" s="94"/>
      <c r="D20" s="94"/>
      <c r="E20" s="94"/>
      <c r="F20" s="94"/>
      <c r="G20" s="94"/>
      <c r="H20" s="95"/>
    </row>
    <row r="21" spans="1:8" ht="20.100000000000001" customHeight="1" x14ac:dyDescent="0.3">
      <c r="A21" s="93"/>
      <c r="B21" s="94"/>
      <c r="C21" s="94"/>
      <c r="D21" s="94"/>
      <c r="E21" s="94"/>
      <c r="F21" s="94"/>
      <c r="G21" s="94"/>
      <c r="H21" s="95"/>
    </row>
    <row r="22" spans="1:8" ht="20.100000000000001" customHeight="1" x14ac:dyDescent="0.3">
      <c r="A22" s="93"/>
      <c r="B22" s="94"/>
      <c r="C22" s="94"/>
      <c r="D22" s="94"/>
      <c r="E22" s="94"/>
      <c r="F22" s="94"/>
      <c r="G22" s="94"/>
      <c r="H22" s="95"/>
    </row>
    <row r="23" spans="1:8" ht="20.100000000000001" customHeight="1" x14ac:dyDescent="0.3">
      <c r="A23" s="93"/>
      <c r="B23" s="94"/>
      <c r="C23" s="94"/>
      <c r="D23" s="94"/>
      <c r="E23" s="94"/>
      <c r="F23" s="94"/>
      <c r="G23" s="94"/>
      <c r="H23" s="95"/>
    </row>
    <row r="24" spans="1:8" ht="20.100000000000001" customHeight="1" x14ac:dyDescent="0.3">
      <c r="A24" s="93"/>
      <c r="B24" s="94"/>
      <c r="C24" s="94"/>
      <c r="D24" s="94"/>
      <c r="E24" s="94"/>
      <c r="F24" s="94"/>
      <c r="G24" s="94"/>
      <c r="H24" s="95"/>
    </row>
    <row r="25" spans="1:8" ht="20.100000000000001" customHeight="1" x14ac:dyDescent="0.3">
      <c r="A25" s="93"/>
      <c r="B25" s="94"/>
      <c r="C25" s="94"/>
      <c r="D25" s="94"/>
      <c r="E25" s="94"/>
      <c r="F25" s="94"/>
      <c r="G25" s="94"/>
      <c r="H25" s="95"/>
    </row>
    <row r="26" spans="1:8" ht="20.100000000000001" customHeight="1" x14ac:dyDescent="0.3">
      <c r="A26" s="93"/>
      <c r="B26" s="94"/>
      <c r="C26" s="94"/>
      <c r="D26" s="94"/>
      <c r="E26" s="94"/>
      <c r="F26" s="94"/>
      <c r="G26" s="94"/>
      <c r="H26" s="95"/>
    </row>
    <row r="27" spans="1:8" ht="20.100000000000001" customHeight="1" x14ac:dyDescent="0.3">
      <c r="A27" s="93"/>
      <c r="B27" s="94"/>
      <c r="C27" s="94"/>
      <c r="D27" s="94"/>
      <c r="E27" s="94"/>
      <c r="F27" s="94"/>
      <c r="G27" s="94"/>
      <c r="H27" s="95"/>
    </row>
    <row r="28" spans="1:8" ht="20.100000000000001" customHeight="1" x14ac:dyDescent="0.3">
      <c r="A28" s="93"/>
      <c r="B28" s="94"/>
      <c r="C28" s="94"/>
      <c r="D28" s="94"/>
      <c r="E28" s="94"/>
      <c r="F28" s="94"/>
      <c r="G28" s="94"/>
      <c r="H28" s="95"/>
    </row>
    <row r="29" spans="1:8" ht="20.100000000000001" customHeight="1" x14ac:dyDescent="0.3">
      <c r="A29" s="93"/>
      <c r="B29" s="94"/>
      <c r="C29" s="94"/>
      <c r="D29" s="94"/>
      <c r="E29" s="94"/>
      <c r="F29" s="94"/>
      <c r="G29" s="94"/>
      <c r="H29" s="95"/>
    </row>
    <row r="30" spans="1:8" ht="20.100000000000001" customHeight="1" x14ac:dyDescent="0.3">
      <c r="A30" s="93"/>
      <c r="B30" s="94"/>
      <c r="C30" s="94"/>
      <c r="D30" s="94"/>
      <c r="E30" s="94"/>
      <c r="F30" s="94"/>
      <c r="G30" s="94"/>
      <c r="H30" s="95"/>
    </row>
    <row r="31" spans="1:8" ht="20.100000000000001" customHeight="1" x14ac:dyDescent="0.3">
      <c r="A31" s="93"/>
      <c r="B31" s="94"/>
      <c r="C31" s="94"/>
      <c r="D31" s="94"/>
      <c r="E31" s="94"/>
      <c r="F31" s="94"/>
      <c r="G31" s="94"/>
      <c r="H31" s="95"/>
    </row>
    <row r="32" spans="1:8" ht="20.100000000000001" customHeight="1" x14ac:dyDescent="0.3">
      <c r="A32" s="93"/>
      <c r="B32" s="94"/>
      <c r="C32" s="94"/>
      <c r="D32" s="94"/>
      <c r="E32" s="94"/>
      <c r="F32" s="94"/>
      <c r="G32" s="94"/>
      <c r="H32" s="95"/>
    </row>
    <row r="33" spans="1:18" ht="20.100000000000001" customHeight="1" x14ac:dyDescent="0.3">
      <c r="A33" s="93"/>
      <c r="B33" s="94"/>
      <c r="C33" s="94"/>
      <c r="D33" s="94"/>
      <c r="E33" s="94"/>
      <c r="F33" s="94"/>
      <c r="G33" s="94"/>
      <c r="H33" s="95"/>
    </row>
    <row r="34" spans="1:18" ht="20.100000000000001" customHeight="1" x14ac:dyDescent="0.3">
      <c r="A34" s="93"/>
      <c r="B34" s="94"/>
      <c r="C34" s="94"/>
      <c r="D34" s="94"/>
      <c r="E34" s="94"/>
      <c r="F34" s="94"/>
      <c r="G34" s="94"/>
      <c r="H34" s="95"/>
    </row>
    <row r="35" spans="1:18" ht="20.100000000000001" customHeight="1" x14ac:dyDescent="0.3">
      <c r="A35" s="93"/>
      <c r="B35" s="94"/>
      <c r="C35" s="94"/>
      <c r="D35" s="94"/>
      <c r="E35" s="94"/>
      <c r="F35" s="94"/>
      <c r="G35" s="94"/>
      <c r="H35" s="95"/>
    </row>
    <row r="36" spans="1:18" ht="20.100000000000001" customHeight="1" x14ac:dyDescent="0.3">
      <c r="A36" s="93"/>
      <c r="B36" s="94"/>
      <c r="C36" s="94"/>
      <c r="D36" s="94"/>
      <c r="E36" s="94"/>
      <c r="F36" s="94"/>
      <c r="G36" s="94"/>
      <c r="H36" s="95"/>
    </row>
    <row r="37" spans="1:18" ht="20.100000000000001" customHeight="1" x14ac:dyDescent="0.3">
      <c r="A37" s="93"/>
      <c r="B37" s="94"/>
      <c r="C37" s="94"/>
      <c r="D37" s="94"/>
      <c r="E37" s="94"/>
      <c r="F37" s="94"/>
      <c r="G37" s="94"/>
      <c r="H37" s="95"/>
    </row>
    <row r="38" spans="1:18" ht="20.100000000000001" customHeight="1" x14ac:dyDescent="0.3">
      <c r="A38" s="93"/>
      <c r="B38" s="94"/>
      <c r="C38" s="94"/>
      <c r="D38" s="94"/>
      <c r="E38" s="94"/>
      <c r="F38" s="94"/>
      <c r="G38" s="94"/>
      <c r="H38" s="95"/>
    </row>
    <row r="39" spans="1:18" ht="20.100000000000001" customHeight="1" x14ac:dyDescent="0.3">
      <c r="A39" s="93"/>
      <c r="B39" s="94"/>
      <c r="C39" s="94"/>
      <c r="D39" s="94"/>
      <c r="E39" s="94"/>
      <c r="F39" s="94"/>
      <c r="G39" s="94"/>
      <c r="H39" s="95"/>
    </row>
    <row r="40" spans="1:18" ht="20.100000000000001" customHeight="1" x14ac:dyDescent="0.3">
      <c r="A40" s="93"/>
      <c r="B40" s="94"/>
      <c r="C40" s="94"/>
      <c r="D40" s="94"/>
      <c r="E40" s="94"/>
      <c r="F40" s="94"/>
      <c r="G40" s="94"/>
      <c r="H40" s="95"/>
    </row>
    <row r="41" spans="1:18" ht="20.100000000000001" customHeight="1" x14ac:dyDescent="0.3">
      <c r="A41" s="93"/>
      <c r="B41" s="94"/>
      <c r="C41" s="94"/>
      <c r="D41" s="94"/>
      <c r="E41" s="94"/>
      <c r="F41" s="94"/>
      <c r="G41" s="94"/>
      <c r="H41" s="95"/>
      <c r="J41" s="19">
        <v>0</v>
      </c>
    </row>
    <row r="42" spans="1:18" ht="20.100000000000001" customHeight="1" x14ac:dyDescent="0.3">
      <c r="A42" s="96"/>
      <c r="B42" s="97"/>
      <c r="C42" s="97"/>
      <c r="D42" s="97"/>
      <c r="E42" s="97"/>
      <c r="F42" s="97"/>
      <c r="G42" s="97"/>
      <c r="H42" s="98"/>
      <c r="M42" s="21" cm="1">
        <f t="array" ref="M42">IFERROR(ROW(INDEX(M47:M119,MATCH(TRUE,INDEX((M47:M119&lt;&gt;FALSE),0),0))),0)</f>
        <v>47</v>
      </c>
    </row>
    <row r="43" spans="1:18" ht="2.1" customHeight="1" x14ac:dyDescent="0.3">
      <c r="A43" s="9"/>
      <c r="B43" s="9"/>
      <c r="C43" s="9"/>
      <c r="D43" s="9"/>
      <c r="E43" s="9"/>
      <c r="F43" s="9"/>
      <c r="G43" s="9"/>
      <c r="H43" s="9"/>
    </row>
    <row r="44" spans="1:18" ht="2.1" customHeight="1" x14ac:dyDescent="0.3">
      <c r="A44" s="9"/>
      <c r="B44" s="9"/>
      <c r="C44" s="9"/>
      <c r="D44" s="9"/>
      <c r="E44" s="9"/>
      <c r="F44" s="9"/>
      <c r="G44" s="9"/>
      <c r="H44" s="9"/>
    </row>
    <row r="45" spans="1:18" ht="20.100000000000001" customHeight="1" x14ac:dyDescent="0.3">
      <c r="A45" s="70" t="s">
        <v>15</v>
      </c>
      <c r="B45" s="71"/>
      <c r="C45" s="12" t="s">
        <v>12</v>
      </c>
      <c r="D45" s="12" t="s">
        <v>13</v>
      </c>
      <c r="E45" s="12" t="s">
        <v>18</v>
      </c>
      <c r="F45" s="74" t="s">
        <v>14</v>
      </c>
      <c r="G45" s="70"/>
      <c r="H45" s="70"/>
      <c r="M45" s="21">
        <f>IF((M42-5)&gt;0,(M42-5),46)</f>
        <v>42</v>
      </c>
    </row>
    <row r="46" spans="1:18" ht="20.100000000000001" customHeight="1" x14ac:dyDescent="0.3">
      <c r="A46" s="107" t="s">
        <v>31</v>
      </c>
      <c r="B46" s="108"/>
      <c r="C46" s="108"/>
      <c r="D46" s="16">
        <v>1</v>
      </c>
      <c r="E46" s="103"/>
      <c r="F46" s="103"/>
      <c r="G46" s="103"/>
      <c r="H46" s="104"/>
      <c r="J46" s="19">
        <v>0</v>
      </c>
      <c r="K46" s="19">
        <v>0</v>
      </c>
      <c r="L46" s="23" t="str">
        <f>IF(OR(A46="",D46&lt;&gt;0,J46&lt;&gt;0),"",1)</f>
        <v/>
      </c>
      <c r="M46" s="21" t="b">
        <f>ISNUMBER(L46)</f>
        <v>0</v>
      </c>
      <c r="N46" s="22"/>
      <c r="O46" s="22"/>
      <c r="P46" s="22"/>
      <c r="R46" s="22"/>
    </row>
    <row r="47" spans="1:18" ht="20.100000000000001" customHeight="1" x14ac:dyDescent="0.3">
      <c r="A47" s="72" t="s">
        <v>32</v>
      </c>
      <c r="B47" s="73"/>
      <c r="C47" s="6"/>
      <c r="D47" s="6"/>
      <c r="E47" s="6"/>
      <c r="F47" s="62"/>
      <c r="G47" s="62"/>
      <c r="H47" s="62"/>
      <c r="J47" s="19">
        <v>0</v>
      </c>
      <c r="K47" s="19">
        <v>0</v>
      </c>
      <c r="L47" s="23">
        <f t="shared" ref="L47:L114" si="0">IF(OR(A47="",D47&lt;&gt;0,J47&lt;&gt;0),"",1)</f>
        <v>1</v>
      </c>
      <c r="M47" s="21" t="b">
        <f t="shared" ref="M47:M114" si="1">ISNUMBER(L47)</f>
        <v>1</v>
      </c>
      <c r="N47" s="22"/>
      <c r="O47" s="22"/>
      <c r="P47" s="22"/>
      <c r="R47" s="22"/>
    </row>
    <row r="48" spans="1:18" ht="20.100000000000001" customHeight="1" x14ac:dyDescent="0.3">
      <c r="A48" s="72" t="s">
        <v>33</v>
      </c>
      <c r="B48" s="73"/>
      <c r="C48" s="6"/>
      <c r="D48" s="6"/>
      <c r="E48" s="6"/>
      <c r="F48" s="62"/>
      <c r="G48" s="62"/>
      <c r="H48" s="62"/>
      <c r="J48" s="19">
        <v>0</v>
      </c>
      <c r="K48" s="19">
        <v>0</v>
      </c>
      <c r="L48" s="23">
        <f t="shared" si="0"/>
        <v>1</v>
      </c>
      <c r="M48" s="21" t="b">
        <f t="shared" si="1"/>
        <v>1</v>
      </c>
      <c r="N48" s="22"/>
      <c r="O48" s="22"/>
      <c r="P48" s="22"/>
      <c r="R48" s="22"/>
    </row>
    <row r="49" spans="1:18" ht="20.100000000000001" customHeight="1" x14ac:dyDescent="0.3">
      <c r="A49" s="72" t="s">
        <v>34</v>
      </c>
      <c r="B49" s="73"/>
      <c r="C49" s="6"/>
      <c r="D49" s="6"/>
      <c r="E49" s="6"/>
      <c r="F49" s="62"/>
      <c r="G49" s="62"/>
      <c r="H49" s="62"/>
      <c r="J49" s="19">
        <v>0</v>
      </c>
      <c r="K49" s="19">
        <v>0</v>
      </c>
      <c r="L49" s="23">
        <f>IF(OR(A49="",D49&lt;&gt;0,J49&lt;&gt;0),"",1)</f>
        <v>1</v>
      </c>
      <c r="M49" s="21" t="b">
        <f>ISNUMBER(L49)</f>
        <v>1</v>
      </c>
      <c r="N49" s="22"/>
      <c r="O49" s="22"/>
      <c r="P49" s="22"/>
      <c r="R49" s="22"/>
    </row>
    <row r="50" spans="1:18" ht="20.100000000000001" customHeight="1" x14ac:dyDescent="0.3">
      <c r="A50" s="72" t="s">
        <v>35</v>
      </c>
      <c r="B50" s="73"/>
      <c r="C50" s="6"/>
      <c r="D50" s="6"/>
      <c r="E50" s="6"/>
      <c r="F50" s="62"/>
      <c r="G50" s="62"/>
      <c r="H50" s="62"/>
      <c r="J50" s="19">
        <v>0</v>
      </c>
      <c r="K50" s="19">
        <v>0</v>
      </c>
      <c r="L50" s="23">
        <f>IF(OR(A50="",D50&lt;&gt;0,J50&lt;&gt;0),"",1)</f>
        <v>1</v>
      </c>
      <c r="M50" s="21" t="b">
        <f>ISNUMBER(L50)</f>
        <v>1</v>
      </c>
      <c r="N50" s="22"/>
      <c r="O50" s="22"/>
      <c r="P50" s="22"/>
      <c r="R50" s="22"/>
    </row>
    <row r="51" spans="1:18" ht="20.100000000000001" customHeight="1" x14ac:dyDescent="0.3">
      <c r="A51" s="72" t="s">
        <v>36</v>
      </c>
      <c r="B51" s="73"/>
      <c r="C51" s="6"/>
      <c r="D51" s="6"/>
      <c r="E51" s="6"/>
      <c r="F51" s="62"/>
      <c r="G51" s="62"/>
      <c r="H51" s="62"/>
      <c r="J51" s="19">
        <v>0</v>
      </c>
      <c r="K51" s="19">
        <v>0</v>
      </c>
      <c r="L51" s="23">
        <f>IF(OR(A51="",D51&lt;&gt;0,J51&lt;&gt;0),"",1)</f>
        <v>1</v>
      </c>
      <c r="M51" s="21" t="b">
        <f>ISNUMBER(L51)</f>
        <v>1</v>
      </c>
      <c r="N51" s="22"/>
      <c r="O51" s="22"/>
      <c r="P51" s="22"/>
      <c r="R51" s="22"/>
    </row>
    <row r="52" spans="1:18" ht="20.100000000000001" customHeight="1" x14ac:dyDescent="0.3">
      <c r="A52" s="99" t="s">
        <v>37</v>
      </c>
      <c r="B52" s="100"/>
      <c r="C52" s="13"/>
      <c r="D52" s="13"/>
      <c r="E52" s="13"/>
      <c r="F52" s="78"/>
      <c r="G52" s="78"/>
      <c r="H52" s="78"/>
      <c r="J52" s="19">
        <v>0</v>
      </c>
      <c r="K52" s="19">
        <v>0</v>
      </c>
      <c r="L52" s="23">
        <f t="shared" si="0"/>
        <v>1</v>
      </c>
      <c r="M52" s="21" t="b">
        <f t="shared" si="1"/>
        <v>1</v>
      </c>
      <c r="N52" s="22"/>
      <c r="O52" s="22"/>
      <c r="P52" s="22"/>
      <c r="R52" s="22"/>
    </row>
    <row r="53" spans="1:18" ht="20.100000000000001" customHeight="1" x14ac:dyDescent="0.3">
      <c r="A53" s="109" t="s">
        <v>27</v>
      </c>
      <c r="B53" s="110"/>
      <c r="C53" s="110"/>
      <c r="D53" s="26">
        <v>1</v>
      </c>
      <c r="E53" s="105"/>
      <c r="F53" s="105"/>
      <c r="G53" s="105"/>
      <c r="H53" s="106"/>
      <c r="J53" s="19">
        <v>0</v>
      </c>
      <c r="K53" s="19">
        <v>0</v>
      </c>
      <c r="L53" s="23" t="str">
        <f t="shared" si="0"/>
        <v/>
      </c>
      <c r="M53" s="21" t="b">
        <f t="shared" si="1"/>
        <v>0</v>
      </c>
      <c r="R53" s="22"/>
    </row>
    <row r="54" spans="1:18" ht="20.100000000000001" customHeight="1" x14ac:dyDescent="0.3">
      <c r="A54" s="102" t="s">
        <v>38</v>
      </c>
      <c r="B54" s="102"/>
      <c r="C54" s="15"/>
      <c r="D54" s="15"/>
      <c r="E54" s="15"/>
      <c r="F54" s="69"/>
      <c r="G54" s="69"/>
      <c r="H54" s="69"/>
      <c r="J54" s="19">
        <v>0</v>
      </c>
      <c r="K54" s="19">
        <v>0</v>
      </c>
      <c r="L54" s="23">
        <f t="shared" si="0"/>
        <v>1</v>
      </c>
      <c r="M54" s="21" t="b">
        <f t="shared" si="1"/>
        <v>1</v>
      </c>
      <c r="R54" s="22"/>
    </row>
    <row r="55" spans="1:18" ht="20.100000000000001" customHeight="1" x14ac:dyDescent="0.3">
      <c r="A55" s="73" t="s">
        <v>39</v>
      </c>
      <c r="B55" s="73"/>
      <c r="C55" s="6"/>
      <c r="D55" s="6"/>
      <c r="E55" s="6"/>
      <c r="F55" s="62"/>
      <c r="G55" s="62"/>
      <c r="H55" s="62"/>
      <c r="J55" s="19">
        <v>0</v>
      </c>
      <c r="K55" s="19">
        <v>0</v>
      </c>
      <c r="L55" s="23">
        <f>IF(OR(A55="",D55&lt;&gt;0,J55&lt;&gt;0),"",1)</f>
        <v>1</v>
      </c>
      <c r="M55" s="21" t="b">
        <f>ISNUMBER(L55)</f>
        <v>1</v>
      </c>
      <c r="R55" s="22"/>
    </row>
    <row r="56" spans="1:18" ht="20.100000000000001" customHeight="1" x14ac:dyDescent="0.3">
      <c r="A56" s="73" t="s">
        <v>40</v>
      </c>
      <c r="B56" s="73"/>
      <c r="C56" s="6"/>
      <c r="D56" s="6"/>
      <c r="E56" s="6"/>
      <c r="F56" s="62"/>
      <c r="G56" s="62"/>
      <c r="H56" s="62"/>
      <c r="J56" s="19">
        <v>0</v>
      </c>
      <c r="K56" s="19">
        <v>0</v>
      </c>
      <c r="L56" s="23">
        <f>IF(OR(A56="",D56&lt;&gt;0,J56&lt;&gt;0),"",1)</f>
        <v>1</v>
      </c>
      <c r="M56" s="21" t="b">
        <f>ISNUMBER(L56)</f>
        <v>1</v>
      </c>
      <c r="R56" s="22"/>
    </row>
    <row r="57" spans="1:18" ht="20.100000000000001" customHeight="1" x14ac:dyDescent="0.3">
      <c r="A57" s="107" t="s">
        <v>41</v>
      </c>
      <c r="B57" s="110"/>
      <c r="C57" s="110"/>
      <c r="D57" s="16">
        <v>1</v>
      </c>
      <c r="E57" s="105"/>
      <c r="F57" s="105"/>
      <c r="G57" s="105"/>
      <c r="H57" s="106"/>
      <c r="J57" s="19">
        <v>0</v>
      </c>
      <c r="K57" s="19">
        <v>0</v>
      </c>
      <c r="L57" s="23" t="str">
        <f t="shared" si="0"/>
        <v/>
      </c>
      <c r="M57" s="21" t="b">
        <f t="shared" si="1"/>
        <v>0</v>
      </c>
      <c r="R57" s="22"/>
    </row>
    <row r="58" spans="1:18" ht="20.100000000000001" customHeight="1" x14ac:dyDescent="0.3">
      <c r="A58" s="57" t="s">
        <v>42</v>
      </c>
      <c r="B58" s="58"/>
      <c r="C58" s="14"/>
      <c r="D58" s="15"/>
      <c r="E58" s="15"/>
      <c r="F58" s="69"/>
      <c r="G58" s="69"/>
      <c r="H58" s="69"/>
      <c r="J58" s="19">
        <v>0</v>
      </c>
      <c r="K58" s="19">
        <v>0</v>
      </c>
      <c r="L58" s="23">
        <f t="shared" si="0"/>
        <v>1</v>
      </c>
      <c r="M58" s="21" t="b">
        <f t="shared" si="1"/>
        <v>1</v>
      </c>
      <c r="R58" s="22"/>
    </row>
    <row r="59" spans="1:18" ht="20.100000000000001" customHeight="1" x14ac:dyDescent="0.3">
      <c r="A59" s="57" t="s">
        <v>43</v>
      </c>
      <c r="B59" s="58"/>
      <c r="C59" s="5"/>
      <c r="D59" s="6"/>
      <c r="E59" s="6"/>
      <c r="F59" s="59"/>
      <c r="G59" s="60"/>
      <c r="H59" s="61"/>
      <c r="J59" s="19">
        <v>0</v>
      </c>
      <c r="K59" s="19">
        <v>0</v>
      </c>
      <c r="L59" s="23">
        <f t="shared" si="0"/>
        <v>1</v>
      </c>
      <c r="M59" s="21" t="b">
        <f t="shared" si="1"/>
        <v>1</v>
      </c>
      <c r="R59" s="22"/>
    </row>
    <row r="60" spans="1:18" ht="20.100000000000001" customHeight="1" x14ac:dyDescent="0.3">
      <c r="A60" s="57" t="s">
        <v>44</v>
      </c>
      <c r="B60" s="58"/>
      <c r="C60" s="5"/>
      <c r="D60" s="6"/>
      <c r="E60" s="6"/>
      <c r="F60" s="59"/>
      <c r="G60" s="60"/>
      <c r="H60" s="61"/>
      <c r="J60" s="19">
        <v>0</v>
      </c>
      <c r="K60" s="19">
        <v>0</v>
      </c>
      <c r="L60" s="23">
        <f t="shared" si="0"/>
        <v>1</v>
      </c>
      <c r="M60" s="21" t="b">
        <f t="shared" si="1"/>
        <v>1</v>
      </c>
      <c r="R60" s="22"/>
    </row>
    <row r="61" spans="1:18" ht="20.100000000000001" customHeight="1" x14ac:dyDescent="0.3">
      <c r="A61" s="57" t="s">
        <v>45</v>
      </c>
      <c r="B61" s="58"/>
      <c r="C61" s="5"/>
      <c r="D61" s="6"/>
      <c r="E61" s="6"/>
      <c r="F61" s="59"/>
      <c r="G61" s="60"/>
      <c r="H61" s="61"/>
      <c r="J61" s="19">
        <v>0</v>
      </c>
      <c r="K61" s="19">
        <v>0</v>
      </c>
      <c r="L61" s="23">
        <f>IF(OR(A61="",D61&lt;&gt;0,J61&lt;&gt;0),"",1)</f>
        <v>1</v>
      </c>
      <c r="M61" s="21" t="b">
        <f>ISNUMBER(L61)</f>
        <v>1</v>
      </c>
      <c r="R61" s="22"/>
    </row>
    <row r="62" spans="1:18" ht="20.100000000000001" customHeight="1" x14ac:dyDescent="0.3">
      <c r="A62" s="57" t="s">
        <v>46</v>
      </c>
      <c r="B62" s="58"/>
      <c r="C62" s="5"/>
      <c r="D62" s="6"/>
      <c r="E62" s="6"/>
      <c r="F62" s="59"/>
      <c r="G62" s="60"/>
      <c r="H62" s="61"/>
      <c r="J62" s="19">
        <v>0</v>
      </c>
      <c r="K62" s="19">
        <v>0</v>
      </c>
      <c r="L62" s="23">
        <f t="shared" si="0"/>
        <v>1</v>
      </c>
      <c r="M62" s="21" t="b">
        <f t="shared" si="1"/>
        <v>1</v>
      </c>
      <c r="R62" s="22"/>
    </row>
    <row r="63" spans="1:18" ht="20.100000000000001" customHeight="1" x14ac:dyDescent="0.3">
      <c r="A63" s="57" t="s">
        <v>47</v>
      </c>
      <c r="B63" s="58"/>
      <c r="C63" s="5"/>
      <c r="D63" s="6"/>
      <c r="E63" s="6"/>
      <c r="F63" s="59"/>
      <c r="G63" s="60"/>
      <c r="H63" s="61"/>
      <c r="J63" s="19">
        <v>0</v>
      </c>
      <c r="K63" s="19">
        <v>0</v>
      </c>
      <c r="L63" s="23">
        <f>IF(OR(A63="",D63&lt;&gt;0,J63&lt;&gt;0),"",1)</f>
        <v>1</v>
      </c>
      <c r="M63" s="21" t="b">
        <f>ISNUMBER(L63)</f>
        <v>1</v>
      </c>
      <c r="R63" s="22"/>
    </row>
    <row r="64" spans="1:18" ht="20.100000000000001" customHeight="1" x14ac:dyDescent="0.3">
      <c r="A64" s="57" t="s">
        <v>48</v>
      </c>
      <c r="B64" s="58"/>
      <c r="C64" s="5"/>
      <c r="D64" s="6"/>
      <c r="E64" s="6"/>
      <c r="F64" s="59"/>
      <c r="G64" s="60"/>
      <c r="H64" s="61"/>
      <c r="J64" s="19">
        <v>0</v>
      </c>
      <c r="K64" s="19">
        <v>0</v>
      </c>
      <c r="L64" s="23">
        <f t="shared" si="0"/>
        <v>1</v>
      </c>
      <c r="M64" s="21" t="b">
        <f t="shared" si="1"/>
        <v>1</v>
      </c>
      <c r="R64" s="22"/>
    </row>
    <row r="65" spans="1:18" ht="20.100000000000001" customHeight="1" x14ac:dyDescent="0.3">
      <c r="A65" s="57" t="s">
        <v>49</v>
      </c>
      <c r="B65" s="58"/>
      <c r="C65" s="5"/>
      <c r="D65" s="6"/>
      <c r="E65" s="6"/>
      <c r="F65" s="59"/>
      <c r="G65" s="60"/>
      <c r="H65" s="61"/>
      <c r="J65" s="19">
        <v>0</v>
      </c>
      <c r="K65" s="19">
        <v>0</v>
      </c>
      <c r="L65" s="23">
        <f>IF(OR(A65="",D65&lt;&gt;0,J65&lt;&gt;0),"",1)</f>
        <v>1</v>
      </c>
      <c r="M65" s="21" t="b">
        <f>ISNUMBER(L65)</f>
        <v>1</v>
      </c>
      <c r="R65" s="22"/>
    </row>
    <row r="66" spans="1:18" ht="20.100000000000001" customHeight="1" x14ac:dyDescent="0.3">
      <c r="A66" s="57" t="s">
        <v>50</v>
      </c>
      <c r="B66" s="58"/>
      <c r="C66" s="5"/>
      <c r="D66" s="6"/>
      <c r="E66" s="6"/>
      <c r="F66" s="59"/>
      <c r="G66" s="60"/>
      <c r="H66" s="61"/>
      <c r="J66" s="19">
        <v>0</v>
      </c>
      <c r="K66" s="19">
        <v>0</v>
      </c>
      <c r="L66" s="23">
        <f t="shared" si="0"/>
        <v>1</v>
      </c>
      <c r="M66" s="21" t="b">
        <f t="shared" si="1"/>
        <v>1</v>
      </c>
      <c r="R66" s="22"/>
    </row>
    <row r="67" spans="1:18" ht="20.100000000000001" customHeight="1" x14ac:dyDescent="0.3">
      <c r="A67" s="57" t="s">
        <v>51</v>
      </c>
      <c r="B67" s="58"/>
      <c r="C67" s="5"/>
      <c r="D67" s="6"/>
      <c r="E67" s="6"/>
      <c r="F67" s="59"/>
      <c r="G67" s="60"/>
      <c r="H67" s="61"/>
      <c r="J67" s="19">
        <v>0</v>
      </c>
      <c r="K67" s="19">
        <v>0</v>
      </c>
      <c r="L67" s="23">
        <f>IF(OR(A67="",D67&lt;&gt;0,J67&lt;&gt;0),"",1)</f>
        <v>1</v>
      </c>
      <c r="M67" s="21" t="b">
        <f>ISNUMBER(L67)</f>
        <v>1</v>
      </c>
      <c r="R67" s="22"/>
    </row>
    <row r="68" spans="1:18" ht="20.100000000000001" customHeight="1" x14ac:dyDescent="0.3">
      <c r="A68" s="57" t="s">
        <v>52</v>
      </c>
      <c r="B68" s="58"/>
      <c r="C68" s="4"/>
      <c r="D68" s="13"/>
      <c r="E68" s="13"/>
      <c r="F68" s="78"/>
      <c r="G68" s="78"/>
      <c r="H68" s="78"/>
      <c r="J68" s="19">
        <v>0</v>
      </c>
      <c r="K68" s="19">
        <v>0</v>
      </c>
      <c r="L68" s="23">
        <f t="shared" si="0"/>
        <v>1</v>
      </c>
      <c r="M68" s="21" t="b">
        <f t="shared" si="1"/>
        <v>1</v>
      </c>
      <c r="R68" s="22"/>
    </row>
    <row r="69" spans="1:18" ht="20.100000000000001" customHeight="1" x14ac:dyDescent="0.3">
      <c r="A69" s="107" t="s">
        <v>53</v>
      </c>
      <c r="B69" s="110"/>
      <c r="C69" s="110"/>
      <c r="D69" s="16">
        <v>1</v>
      </c>
      <c r="E69" s="105"/>
      <c r="F69" s="105"/>
      <c r="G69" s="105"/>
      <c r="H69" s="106"/>
      <c r="J69" s="19">
        <v>0</v>
      </c>
      <c r="K69" s="19">
        <v>0</v>
      </c>
      <c r="L69" s="23" t="str">
        <f t="shared" si="0"/>
        <v/>
      </c>
      <c r="M69" s="21" t="b">
        <f t="shared" si="1"/>
        <v>0</v>
      </c>
    </row>
    <row r="70" spans="1:18" ht="20.100000000000001" customHeight="1" x14ac:dyDescent="0.3">
      <c r="A70" s="57" t="s">
        <v>42</v>
      </c>
      <c r="B70" s="58"/>
      <c r="C70" s="14"/>
      <c r="D70" s="15"/>
      <c r="E70" s="15"/>
      <c r="F70" s="69"/>
      <c r="G70" s="69"/>
      <c r="H70" s="69"/>
      <c r="J70" s="19">
        <v>0</v>
      </c>
      <c r="K70" s="19">
        <v>0</v>
      </c>
      <c r="L70" s="23">
        <f t="shared" si="0"/>
        <v>1</v>
      </c>
      <c r="M70" s="21" t="b">
        <f t="shared" si="1"/>
        <v>1</v>
      </c>
    </row>
    <row r="71" spans="1:18" ht="20.100000000000001" customHeight="1" x14ac:dyDescent="0.3">
      <c r="A71" s="57" t="s">
        <v>43</v>
      </c>
      <c r="B71" s="58"/>
      <c r="C71" s="5"/>
      <c r="D71" s="6"/>
      <c r="E71" s="6"/>
      <c r="F71" s="62"/>
      <c r="G71" s="62"/>
      <c r="H71" s="62"/>
      <c r="J71" s="19">
        <v>0</v>
      </c>
      <c r="K71" s="19">
        <v>0</v>
      </c>
      <c r="L71" s="23">
        <f t="shared" si="0"/>
        <v>1</v>
      </c>
      <c r="M71" s="21" t="b">
        <f t="shared" si="1"/>
        <v>1</v>
      </c>
    </row>
    <row r="72" spans="1:18" ht="20.100000000000001" customHeight="1" x14ac:dyDescent="0.3">
      <c r="A72" s="57" t="s">
        <v>44</v>
      </c>
      <c r="B72" s="58"/>
      <c r="C72" s="5"/>
      <c r="D72" s="6"/>
      <c r="E72" s="6"/>
      <c r="F72" s="62"/>
      <c r="G72" s="62"/>
      <c r="H72" s="62"/>
      <c r="J72" s="19">
        <v>0</v>
      </c>
      <c r="K72" s="19">
        <v>0</v>
      </c>
      <c r="L72" s="23">
        <f t="shared" ref="L72:L79" si="2">IF(OR(A72="",D72&lt;&gt;0,J72&lt;&gt;0),"",1)</f>
        <v>1</v>
      </c>
      <c r="M72" s="21" t="b">
        <f t="shared" ref="M72:M79" si="3">ISNUMBER(L72)</f>
        <v>1</v>
      </c>
    </row>
    <row r="73" spans="1:18" ht="20.100000000000001" customHeight="1" x14ac:dyDescent="0.3">
      <c r="A73" s="57" t="s">
        <v>45</v>
      </c>
      <c r="B73" s="58"/>
      <c r="C73" s="5"/>
      <c r="D73" s="6"/>
      <c r="E73" s="6"/>
      <c r="F73" s="62"/>
      <c r="G73" s="62"/>
      <c r="H73" s="62"/>
      <c r="J73" s="19">
        <v>0</v>
      </c>
      <c r="K73" s="19">
        <v>0</v>
      </c>
      <c r="L73" s="23">
        <f>IF(OR(A73="",D73&lt;&gt;0,J73&lt;&gt;0),"",1)</f>
        <v>1</v>
      </c>
      <c r="M73" s="21" t="b">
        <f>ISNUMBER(L73)</f>
        <v>1</v>
      </c>
    </row>
    <row r="74" spans="1:18" ht="20.100000000000001" customHeight="1" x14ac:dyDescent="0.3">
      <c r="A74" s="57" t="s">
        <v>46</v>
      </c>
      <c r="B74" s="58"/>
      <c r="C74" s="5"/>
      <c r="D74" s="6"/>
      <c r="E74" s="6"/>
      <c r="F74" s="62"/>
      <c r="G74" s="62"/>
      <c r="H74" s="62"/>
      <c r="J74" s="19">
        <v>0</v>
      </c>
      <c r="K74" s="19">
        <v>0</v>
      </c>
      <c r="L74" s="23">
        <f t="shared" si="2"/>
        <v>1</v>
      </c>
      <c r="M74" s="21" t="b">
        <f t="shared" si="3"/>
        <v>1</v>
      </c>
    </row>
    <row r="75" spans="1:18" ht="20.100000000000001" customHeight="1" x14ac:dyDescent="0.3">
      <c r="A75" s="57" t="s">
        <v>47</v>
      </c>
      <c r="B75" s="58"/>
      <c r="C75" s="5"/>
      <c r="D75" s="6"/>
      <c r="E75" s="6"/>
      <c r="F75" s="62"/>
      <c r="G75" s="62"/>
      <c r="H75" s="62"/>
      <c r="J75" s="19">
        <v>0</v>
      </c>
      <c r="K75" s="19">
        <v>0</v>
      </c>
      <c r="L75" s="23">
        <f>IF(OR(A75="",D75&lt;&gt;0,J75&lt;&gt;0),"",1)</f>
        <v>1</v>
      </c>
      <c r="M75" s="21" t="b">
        <f>ISNUMBER(L75)</f>
        <v>1</v>
      </c>
    </row>
    <row r="76" spans="1:18" ht="20.100000000000001" customHeight="1" x14ac:dyDescent="0.3">
      <c r="A76" s="57" t="s">
        <v>48</v>
      </c>
      <c r="B76" s="58"/>
      <c r="C76" s="5"/>
      <c r="D76" s="6"/>
      <c r="E76" s="6"/>
      <c r="F76" s="62"/>
      <c r="G76" s="62"/>
      <c r="H76" s="62"/>
      <c r="J76" s="19">
        <v>0</v>
      </c>
      <c r="K76" s="19">
        <v>0</v>
      </c>
      <c r="L76" s="23">
        <f t="shared" si="2"/>
        <v>1</v>
      </c>
      <c r="M76" s="21" t="b">
        <f t="shared" si="3"/>
        <v>1</v>
      </c>
    </row>
    <row r="77" spans="1:18" ht="20.100000000000001" customHeight="1" x14ac:dyDescent="0.3">
      <c r="A77" s="57" t="s">
        <v>51</v>
      </c>
      <c r="B77" s="58"/>
      <c r="C77" s="5"/>
      <c r="D77" s="6"/>
      <c r="E77" s="6"/>
      <c r="F77" s="62"/>
      <c r="G77" s="62"/>
      <c r="H77" s="62"/>
      <c r="J77" s="19">
        <v>0</v>
      </c>
      <c r="K77" s="19">
        <v>0</v>
      </c>
      <c r="L77" s="23">
        <f>IF(OR(A77="",D77&lt;&gt;0,J77&lt;&gt;0),"",1)</f>
        <v>1</v>
      </c>
      <c r="M77" s="21" t="b">
        <f>ISNUMBER(L77)</f>
        <v>1</v>
      </c>
    </row>
    <row r="78" spans="1:18" ht="20.100000000000001" customHeight="1" x14ac:dyDescent="0.3">
      <c r="A78" s="57" t="s">
        <v>54</v>
      </c>
      <c r="B78" s="58"/>
      <c r="C78" s="5"/>
      <c r="D78" s="6"/>
      <c r="E78" s="6"/>
      <c r="F78" s="62"/>
      <c r="G78" s="62"/>
      <c r="H78" s="62"/>
      <c r="J78" s="19">
        <v>0</v>
      </c>
      <c r="K78" s="19">
        <v>0</v>
      </c>
      <c r="L78" s="23">
        <f t="shared" si="2"/>
        <v>1</v>
      </c>
      <c r="M78" s="21" t="b">
        <f t="shared" si="3"/>
        <v>1</v>
      </c>
    </row>
    <row r="79" spans="1:18" ht="20.100000000000001" customHeight="1" x14ac:dyDescent="0.3">
      <c r="A79" s="57" t="s">
        <v>49</v>
      </c>
      <c r="B79" s="58"/>
      <c r="C79" s="5"/>
      <c r="D79" s="6"/>
      <c r="E79" s="6"/>
      <c r="F79" s="62"/>
      <c r="G79" s="62"/>
      <c r="H79" s="62"/>
      <c r="J79" s="19">
        <v>0</v>
      </c>
      <c r="K79" s="19">
        <v>0</v>
      </c>
      <c r="L79" s="23">
        <f t="shared" si="2"/>
        <v>1</v>
      </c>
      <c r="M79" s="21" t="b">
        <f t="shared" si="3"/>
        <v>1</v>
      </c>
    </row>
    <row r="80" spans="1:18" ht="20.100000000000001" customHeight="1" x14ac:dyDescent="0.3">
      <c r="A80" s="57" t="s">
        <v>55</v>
      </c>
      <c r="B80" s="58"/>
      <c r="C80" s="5"/>
      <c r="D80" s="6"/>
      <c r="E80" s="6"/>
      <c r="F80" s="62"/>
      <c r="G80" s="62"/>
      <c r="H80" s="62"/>
      <c r="J80" s="19">
        <v>0</v>
      </c>
      <c r="K80" s="19">
        <v>0</v>
      </c>
      <c r="L80" s="23">
        <f t="shared" si="0"/>
        <v>1</v>
      </c>
      <c r="M80" s="21" t="b">
        <f t="shared" si="1"/>
        <v>1</v>
      </c>
    </row>
    <row r="81" spans="1:702" ht="20.100000000000001" customHeight="1" x14ac:dyDescent="0.3">
      <c r="A81" s="72" t="s">
        <v>52</v>
      </c>
      <c r="B81" s="73"/>
      <c r="C81" s="6"/>
      <c r="D81" s="6"/>
      <c r="E81" s="6"/>
      <c r="F81" s="62"/>
      <c r="G81" s="62"/>
      <c r="H81" s="62"/>
      <c r="J81" s="19">
        <v>0</v>
      </c>
      <c r="K81" s="19">
        <v>0</v>
      </c>
      <c r="L81" s="23">
        <f t="shared" ref="L81:L90" si="4">IF(OR(A81="",D81&lt;&gt;0,J81&lt;&gt;0),"",1)</f>
        <v>1</v>
      </c>
      <c r="M81" s="21" t="b">
        <f t="shared" ref="M81:M89" si="5">ISNUMBER(L81)</f>
        <v>1</v>
      </c>
    </row>
    <row r="82" spans="1:702" ht="20.100000000000001" customHeight="1" x14ac:dyDescent="0.3">
      <c r="A82" s="77"/>
      <c r="B82" s="64"/>
      <c r="C82" s="64"/>
      <c r="D82" s="64"/>
      <c r="E82" s="64"/>
      <c r="F82" s="64"/>
      <c r="G82" s="64"/>
      <c r="H82" s="64"/>
      <c r="J82" s="19">
        <v>0</v>
      </c>
      <c r="K82" s="19">
        <v>0</v>
      </c>
      <c r="L82" s="23" t="str">
        <f t="shared" si="4"/>
        <v/>
      </c>
      <c r="M82" s="21" t="b">
        <f>ISNUMBER(L82)</f>
        <v>0</v>
      </c>
    </row>
    <row r="83" spans="1:702" ht="20.100000000000001" customHeight="1" x14ac:dyDescent="0.3">
      <c r="A83" s="77"/>
      <c r="B83" s="64"/>
      <c r="C83" s="64"/>
      <c r="D83" s="64"/>
      <c r="E83" s="64"/>
      <c r="F83" s="64"/>
      <c r="G83" s="64"/>
      <c r="H83" s="64"/>
      <c r="J83" s="19">
        <v>0</v>
      </c>
      <c r="K83" s="19">
        <v>0</v>
      </c>
      <c r="L83" s="23" t="str">
        <f t="shared" si="4"/>
        <v/>
      </c>
      <c r="M83" s="21" t="b">
        <f t="shared" si="5"/>
        <v>0</v>
      </c>
    </row>
    <row r="84" spans="1:702" ht="20.100000000000001" customHeight="1" x14ac:dyDescent="0.3">
      <c r="A84" s="77"/>
      <c r="B84" s="64"/>
      <c r="C84" s="64"/>
      <c r="D84" s="64"/>
      <c r="E84" s="64"/>
      <c r="F84" s="64"/>
      <c r="G84" s="64"/>
      <c r="H84" s="64"/>
      <c r="J84" s="19">
        <v>0</v>
      </c>
      <c r="K84" s="19">
        <v>0</v>
      </c>
      <c r="L84" s="23" t="str">
        <f t="shared" si="4"/>
        <v/>
      </c>
      <c r="M84" s="21" t="b">
        <f>ISNUMBER(L84)</f>
        <v>0</v>
      </c>
    </row>
    <row r="85" spans="1:702" ht="20.100000000000001" customHeight="1" x14ac:dyDescent="0.3">
      <c r="A85" s="77"/>
      <c r="B85" s="77"/>
      <c r="C85" s="77"/>
      <c r="D85" s="77"/>
      <c r="E85" s="77"/>
      <c r="F85" s="77"/>
      <c r="G85" s="77"/>
      <c r="H85" s="77"/>
      <c r="J85" s="19">
        <v>0</v>
      </c>
      <c r="K85" s="19">
        <v>0</v>
      </c>
      <c r="L85" s="23" t="str">
        <f t="shared" si="4"/>
        <v/>
      </c>
      <c r="M85" s="21" t="b">
        <f>ISNUMBER(L85)</f>
        <v>0</v>
      </c>
    </row>
    <row r="86" spans="1:702" ht="20.100000000000001" customHeight="1" x14ac:dyDescent="0.3">
      <c r="A86" s="77"/>
      <c r="B86" s="64"/>
      <c r="C86" s="64"/>
      <c r="D86" s="64"/>
      <c r="E86" s="64"/>
      <c r="F86" s="64"/>
      <c r="G86" s="64"/>
      <c r="H86" s="64"/>
      <c r="J86" s="19">
        <v>0</v>
      </c>
      <c r="K86" s="19">
        <v>0</v>
      </c>
      <c r="L86" s="23" t="str">
        <f t="shared" si="4"/>
        <v/>
      </c>
      <c r="M86" s="21" t="b">
        <f t="shared" si="5"/>
        <v>0</v>
      </c>
    </row>
    <row r="87" spans="1:702" ht="2.1" customHeight="1" x14ac:dyDescent="0.3">
      <c r="A87" s="77"/>
      <c r="B87" s="64"/>
      <c r="C87" s="64"/>
      <c r="D87" s="64"/>
      <c r="E87" s="64"/>
      <c r="F87" s="64"/>
      <c r="G87" s="64"/>
      <c r="H87" s="64"/>
      <c r="J87" s="19">
        <v>0</v>
      </c>
      <c r="K87" s="19">
        <v>0</v>
      </c>
      <c r="L87" s="23" t="str">
        <f t="shared" si="4"/>
        <v/>
      </c>
      <c r="M87" s="21" t="b">
        <f t="shared" si="5"/>
        <v>0</v>
      </c>
    </row>
    <row r="88" spans="1:702" ht="2.1" customHeight="1" x14ac:dyDescent="0.3">
      <c r="A88" s="77"/>
      <c r="B88" s="64"/>
      <c r="C88" s="64"/>
      <c r="D88" s="64"/>
      <c r="E88" s="64"/>
      <c r="F88" s="64"/>
      <c r="G88" s="64"/>
      <c r="H88" s="64"/>
      <c r="J88" s="19">
        <v>0</v>
      </c>
      <c r="K88" s="19">
        <v>0</v>
      </c>
      <c r="L88" s="23" t="str">
        <f t="shared" si="4"/>
        <v/>
      </c>
      <c r="M88" s="21" t="b">
        <f t="shared" si="5"/>
        <v>0</v>
      </c>
    </row>
    <row r="89" spans="1:702" ht="20.100000000000001" customHeight="1" x14ac:dyDescent="0.3">
      <c r="A89" s="70" t="s">
        <v>15</v>
      </c>
      <c r="B89" s="71"/>
      <c r="C89" s="12" t="s">
        <v>12</v>
      </c>
      <c r="D89" s="12" t="s">
        <v>13</v>
      </c>
      <c r="E89" s="12" t="s">
        <v>18</v>
      </c>
      <c r="F89" s="74" t="s">
        <v>14</v>
      </c>
      <c r="G89" s="70"/>
      <c r="H89" s="70"/>
      <c r="J89" s="19">
        <v>0</v>
      </c>
      <c r="K89" s="19">
        <v>0</v>
      </c>
      <c r="L89" s="23" t="str">
        <f t="shared" si="4"/>
        <v/>
      </c>
      <c r="M89" s="21" t="b">
        <f t="shared" si="5"/>
        <v>0</v>
      </c>
    </row>
    <row r="90" spans="1:702" ht="20.100000000000001" customHeight="1" x14ac:dyDescent="0.3">
      <c r="A90" s="107" t="s">
        <v>56</v>
      </c>
      <c r="B90" s="108"/>
      <c r="C90" s="108"/>
      <c r="D90" s="16">
        <v>1</v>
      </c>
      <c r="E90" s="105"/>
      <c r="F90" s="105"/>
      <c r="G90" s="105"/>
      <c r="H90" s="106"/>
      <c r="J90" s="19">
        <v>0</v>
      </c>
      <c r="K90" s="19">
        <v>0</v>
      </c>
      <c r="L90" s="23" t="str">
        <f t="shared" si="4"/>
        <v/>
      </c>
      <c r="M90" s="21" t="b">
        <f t="shared" si="1"/>
        <v>0</v>
      </c>
      <c r="N90" s="24"/>
    </row>
    <row r="91" spans="1:702" ht="20.100000000000001" customHeight="1" x14ac:dyDescent="0.3">
      <c r="A91" s="85" t="s">
        <v>42</v>
      </c>
      <c r="B91" s="86"/>
      <c r="C91" s="14"/>
      <c r="D91" s="15"/>
      <c r="E91" s="15"/>
      <c r="F91" s="69"/>
      <c r="G91" s="69"/>
      <c r="H91" s="69"/>
      <c r="J91" s="19">
        <v>0</v>
      </c>
      <c r="K91" s="19">
        <v>0</v>
      </c>
      <c r="L91" s="23">
        <f t="shared" si="0"/>
        <v>1</v>
      </c>
      <c r="M91" s="21" t="b">
        <f t="shared" si="1"/>
        <v>1</v>
      </c>
      <c r="N91" s="24"/>
    </row>
    <row r="92" spans="1:702" ht="20.100000000000001" customHeight="1" x14ac:dyDescent="0.3">
      <c r="A92" s="57" t="s">
        <v>43</v>
      </c>
      <c r="B92" s="58"/>
      <c r="C92" s="5"/>
      <c r="D92" s="6"/>
      <c r="E92" s="6"/>
      <c r="F92" s="59"/>
      <c r="G92" s="60"/>
      <c r="H92" s="61"/>
      <c r="J92" s="19">
        <v>0</v>
      </c>
      <c r="K92" s="19">
        <v>0</v>
      </c>
      <c r="L92" s="23">
        <f t="shared" si="0"/>
        <v>1</v>
      </c>
      <c r="M92" s="21" t="b">
        <f t="shared" si="1"/>
        <v>1</v>
      </c>
      <c r="N92" s="24"/>
      <c r="O92" s="24"/>
      <c r="P92" s="24"/>
    </row>
    <row r="93" spans="1:702" ht="20.100000000000001" customHeight="1" x14ac:dyDescent="0.3">
      <c r="A93" s="57" t="s">
        <v>44</v>
      </c>
      <c r="B93" s="58"/>
      <c r="C93" s="5"/>
      <c r="D93" s="6"/>
      <c r="E93" s="6"/>
      <c r="F93" s="59"/>
      <c r="G93" s="60"/>
      <c r="H93" s="61"/>
      <c r="J93" s="19">
        <v>0</v>
      </c>
      <c r="K93" s="19">
        <v>0</v>
      </c>
      <c r="L93" s="23">
        <f t="shared" si="0"/>
        <v>1</v>
      </c>
      <c r="M93" s="21" t="b">
        <f t="shared" si="1"/>
        <v>1</v>
      </c>
      <c r="N93" s="24"/>
      <c r="O93" s="24"/>
      <c r="P93" s="24"/>
    </row>
    <row r="94" spans="1:702" ht="20.100000000000001" customHeight="1" x14ac:dyDescent="0.3">
      <c r="A94" s="57" t="s">
        <v>45</v>
      </c>
      <c r="B94" s="58"/>
      <c r="C94" s="5"/>
      <c r="D94" s="6"/>
      <c r="E94" s="6"/>
      <c r="F94" s="59"/>
      <c r="G94" s="60"/>
      <c r="H94" s="61"/>
      <c r="J94" s="19">
        <v>0</v>
      </c>
      <c r="K94" s="19">
        <v>0</v>
      </c>
      <c r="L94" s="23">
        <f>IF(OR(A94="",D94&lt;&gt;0,J94&lt;&gt;0),"",1)</f>
        <v>1</v>
      </c>
      <c r="M94" s="21" t="b">
        <f>ISNUMBER(L94)</f>
        <v>1</v>
      </c>
      <c r="N94" s="24"/>
      <c r="O94" s="24"/>
      <c r="P94" s="24"/>
    </row>
    <row r="95" spans="1:702" ht="20.100000000000001" customHeight="1" x14ac:dyDescent="0.3">
      <c r="A95" s="57" t="s">
        <v>46</v>
      </c>
      <c r="B95" s="58"/>
      <c r="C95" s="5"/>
      <c r="D95" s="6"/>
      <c r="E95" s="6"/>
      <c r="F95" s="59"/>
      <c r="G95" s="60"/>
      <c r="H95" s="61"/>
      <c r="J95" s="19">
        <v>0</v>
      </c>
      <c r="K95" s="19">
        <v>0</v>
      </c>
      <c r="L95" s="23">
        <f t="shared" si="0"/>
        <v>1</v>
      </c>
      <c r="M95" s="21" t="b">
        <f t="shared" si="1"/>
        <v>1</v>
      </c>
      <c r="N95" s="24"/>
      <c r="O95" s="24"/>
      <c r="P95" s="24"/>
      <c r="ZZ95" s="22">
        <v>0</v>
      </c>
    </row>
    <row r="96" spans="1:702" ht="20.100000000000001" customHeight="1" x14ac:dyDescent="0.3">
      <c r="A96" s="57" t="s">
        <v>47</v>
      </c>
      <c r="B96" s="58"/>
      <c r="C96" s="5"/>
      <c r="D96" s="6"/>
      <c r="E96" s="6"/>
      <c r="F96" s="59"/>
      <c r="G96" s="60"/>
      <c r="H96" s="61"/>
      <c r="J96" s="19">
        <v>0</v>
      </c>
      <c r="K96" s="19">
        <v>0</v>
      </c>
      <c r="L96" s="23">
        <f>IF(OR(A96="",D96&lt;&gt;0,J96&lt;&gt;0),"",1)</f>
        <v>1</v>
      </c>
      <c r="M96" s="21" t="b">
        <f>ISNUMBER(L96)</f>
        <v>1</v>
      </c>
      <c r="N96" s="24"/>
      <c r="O96" s="24"/>
      <c r="P96" s="24"/>
      <c r="ZZ96" s="22">
        <v>0</v>
      </c>
    </row>
    <row r="97" spans="1:702" ht="20.100000000000001" customHeight="1" x14ac:dyDescent="0.3">
      <c r="A97" s="57" t="s">
        <v>48</v>
      </c>
      <c r="B97" s="58"/>
      <c r="C97" s="5"/>
      <c r="D97" s="6"/>
      <c r="E97" s="6"/>
      <c r="F97" s="59"/>
      <c r="G97" s="60"/>
      <c r="H97" s="61"/>
      <c r="J97" s="19">
        <v>0</v>
      </c>
      <c r="K97" s="19">
        <v>0</v>
      </c>
      <c r="L97" s="23">
        <f t="shared" si="0"/>
        <v>1</v>
      </c>
      <c r="M97" s="21" t="b">
        <f t="shared" si="1"/>
        <v>1</v>
      </c>
      <c r="N97" s="24"/>
      <c r="O97" s="24"/>
      <c r="P97" s="24"/>
      <c r="ZZ97" s="22" t="str">
        <f ca="1">CONCATENATE("Y"&amp;TEXT(G1,"yy"),"M"&amp;TEXT(G1,"mm"),"D"&amp;TEXT(G1,"dd")," - "&amp;B1," - "&amp;G3," - "&amp;G4,J2," - DACS Inspection Report")</f>
        <v>Y22M10D17 - Start typing then use drop-down -  -  -  - # - DACS Inspection Report</v>
      </c>
    </row>
    <row r="98" spans="1:702" ht="20.100000000000001" customHeight="1" x14ac:dyDescent="0.3">
      <c r="A98" s="57" t="s">
        <v>51</v>
      </c>
      <c r="B98" s="58"/>
      <c r="C98" s="5"/>
      <c r="D98" s="6"/>
      <c r="E98" s="6"/>
      <c r="F98" s="59"/>
      <c r="G98" s="60"/>
      <c r="H98" s="61"/>
      <c r="J98" s="19">
        <v>0</v>
      </c>
      <c r="K98" s="19">
        <v>0</v>
      </c>
      <c r="L98" s="23">
        <f>IF(OR(A98="",D98&lt;&gt;0,J98&lt;&gt;0),"",1)</f>
        <v>1</v>
      </c>
      <c r="M98" s="21" t="b">
        <f>ISNUMBER(L98)</f>
        <v>1</v>
      </c>
      <c r="N98" s="24"/>
      <c r="O98" s="24"/>
      <c r="P98" s="24"/>
      <c r="ZZ98" s="22" t="str">
        <f ca="1">(SUBSTITUTE(SUBSTITUTE(SUBSTITUTE(ZZ97,"/","-"),"\","-"),"|","-"))</f>
        <v>Y22M10D17 - Start typing then use drop-down -  -  -  - # - DACS Inspection Report</v>
      </c>
    </row>
    <row r="99" spans="1:702" ht="20.100000000000001" customHeight="1" x14ac:dyDescent="0.3">
      <c r="A99" s="57" t="s">
        <v>52</v>
      </c>
      <c r="B99" s="58"/>
      <c r="C99" s="5"/>
      <c r="D99" s="6"/>
      <c r="E99" s="6"/>
      <c r="F99" s="59"/>
      <c r="G99" s="60"/>
      <c r="H99" s="61"/>
      <c r="J99" s="19">
        <v>0</v>
      </c>
      <c r="K99" s="19">
        <v>0</v>
      </c>
      <c r="L99" s="23">
        <f t="shared" si="0"/>
        <v>1</v>
      </c>
      <c r="M99" s="21" t="b">
        <f t="shared" si="1"/>
        <v>1</v>
      </c>
      <c r="N99" s="24"/>
      <c r="O99" s="24"/>
      <c r="P99" s="24"/>
      <c r="ZZ99" s="22">
        <v>0</v>
      </c>
    </row>
    <row r="100" spans="1:702" ht="20.100000000000001" customHeight="1" x14ac:dyDescent="0.3">
      <c r="A100" s="57" t="s">
        <v>57</v>
      </c>
      <c r="B100" s="58"/>
      <c r="C100" s="5"/>
      <c r="D100" s="6"/>
      <c r="E100" s="6"/>
      <c r="F100" s="59"/>
      <c r="G100" s="60"/>
      <c r="H100" s="61"/>
      <c r="J100" s="19">
        <v>0</v>
      </c>
      <c r="K100" s="19">
        <v>0</v>
      </c>
      <c r="L100" s="23">
        <f>IF(OR(A100="",D100&lt;&gt;0,J100&lt;&gt;0),"",1)</f>
        <v>1</v>
      </c>
      <c r="M100" s="21" t="b">
        <f>ISNUMBER(L100)</f>
        <v>1</v>
      </c>
      <c r="N100" s="24"/>
      <c r="O100" s="24"/>
      <c r="P100" s="24"/>
      <c r="ZZ100" s="22">
        <v>0</v>
      </c>
    </row>
    <row r="101" spans="1:702" ht="20.100000000000001" customHeight="1" x14ac:dyDescent="0.3">
      <c r="A101" s="57" t="s">
        <v>58</v>
      </c>
      <c r="B101" s="58"/>
      <c r="C101" s="5"/>
      <c r="D101" s="6"/>
      <c r="E101" s="6"/>
      <c r="F101" s="59"/>
      <c r="G101" s="60"/>
      <c r="H101" s="61"/>
      <c r="J101" s="19">
        <v>0</v>
      </c>
      <c r="K101" s="19">
        <v>0</v>
      </c>
      <c r="L101" s="23">
        <f t="shared" si="0"/>
        <v>1</v>
      </c>
      <c r="M101" s="21" t="b">
        <f t="shared" si="1"/>
        <v>1</v>
      </c>
      <c r="N101" s="24"/>
      <c r="O101" s="24"/>
      <c r="P101" s="24"/>
      <c r="ZZ101" s="22">
        <v>0</v>
      </c>
    </row>
    <row r="102" spans="1:702" ht="20.100000000000001" customHeight="1" x14ac:dyDescent="0.3">
      <c r="A102" s="57" t="s">
        <v>59</v>
      </c>
      <c r="B102" s="58"/>
      <c r="C102" s="4"/>
      <c r="D102" s="13"/>
      <c r="E102" s="13"/>
      <c r="F102" s="114"/>
      <c r="G102" s="115"/>
      <c r="H102" s="116"/>
      <c r="J102" s="19">
        <v>0</v>
      </c>
      <c r="K102" s="19">
        <v>0</v>
      </c>
      <c r="L102" s="23">
        <f t="shared" si="0"/>
        <v>1</v>
      </c>
      <c r="M102" s="21" t="b">
        <f t="shared" si="1"/>
        <v>1</v>
      </c>
      <c r="N102" s="24"/>
      <c r="O102" s="24"/>
      <c r="P102" s="24"/>
    </row>
    <row r="103" spans="1:702" ht="20.100000000000001" customHeight="1" x14ac:dyDescent="0.3">
      <c r="A103" s="107" t="s">
        <v>26</v>
      </c>
      <c r="B103" s="108"/>
      <c r="C103" s="108"/>
      <c r="D103" s="16">
        <v>1</v>
      </c>
      <c r="E103" s="105"/>
      <c r="F103" s="105"/>
      <c r="G103" s="105"/>
      <c r="H103" s="106"/>
      <c r="J103" s="19">
        <v>0</v>
      </c>
      <c r="K103" s="19">
        <v>0</v>
      </c>
      <c r="L103" s="23" t="str">
        <f t="shared" si="0"/>
        <v/>
      </c>
      <c r="M103" s="21" t="b">
        <f t="shared" si="1"/>
        <v>0</v>
      </c>
      <c r="N103" s="24"/>
      <c r="O103" s="24"/>
      <c r="P103" s="24"/>
    </row>
    <row r="104" spans="1:702" ht="20.100000000000001" customHeight="1" x14ac:dyDescent="0.3">
      <c r="A104" s="57" t="s">
        <v>60</v>
      </c>
      <c r="B104" s="58"/>
      <c r="C104" s="14"/>
      <c r="D104" s="15"/>
      <c r="E104" s="15"/>
      <c r="F104" s="111"/>
      <c r="G104" s="112"/>
      <c r="H104" s="113"/>
      <c r="J104" s="19">
        <v>0</v>
      </c>
      <c r="K104" s="19">
        <v>0</v>
      </c>
      <c r="L104" s="23">
        <f t="shared" si="0"/>
        <v>1</v>
      </c>
      <c r="M104" s="21" t="b">
        <f t="shared" si="1"/>
        <v>1</v>
      </c>
      <c r="N104" s="24"/>
      <c r="O104" s="24"/>
      <c r="P104" s="24"/>
    </row>
    <row r="105" spans="1:702" ht="20.100000000000001" customHeight="1" x14ac:dyDescent="0.3">
      <c r="A105" s="57" t="s">
        <v>61</v>
      </c>
      <c r="B105" s="58"/>
      <c r="C105" s="5"/>
      <c r="D105" s="6"/>
      <c r="E105" s="6"/>
      <c r="F105" s="59"/>
      <c r="G105" s="60"/>
      <c r="H105" s="61"/>
      <c r="J105" s="19">
        <v>0</v>
      </c>
      <c r="K105" s="19">
        <v>0</v>
      </c>
      <c r="L105" s="23">
        <f t="shared" si="0"/>
        <v>1</v>
      </c>
      <c r="M105" s="21" t="b">
        <f t="shared" si="1"/>
        <v>1</v>
      </c>
      <c r="N105" s="24"/>
      <c r="O105" s="24"/>
      <c r="P105" s="24"/>
    </row>
    <row r="106" spans="1:702" ht="20.100000000000001" customHeight="1" x14ac:dyDescent="0.3">
      <c r="A106" s="57" t="s">
        <v>62</v>
      </c>
      <c r="B106" s="58"/>
      <c r="C106" s="5"/>
      <c r="D106" s="6"/>
      <c r="E106" s="6"/>
      <c r="F106" s="59"/>
      <c r="G106" s="60"/>
      <c r="H106" s="61"/>
      <c r="J106" s="19">
        <v>0</v>
      </c>
      <c r="K106" s="19">
        <v>0</v>
      </c>
      <c r="L106" s="23">
        <f t="shared" si="0"/>
        <v>1</v>
      </c>
      <c r="M106" s="21" t="b">
        <f t="shared" si="1"/>
        <v>1</v>
      </c>
      <c r="N106" s="24"/>
      <c r="O106" s="24"/>
      <c r="P106" s="24"/>
    </row>
    <row r="107" spans="1:702" ht="20.100000000000001" customHeight="1" x14ac:dyDescent="0.3">
      <c r="A107" s="57" t="s">
        <v>63</v>
      </c>
      <c r="B107" s="58"/>
      <c r="C107" s="5"/>
      <c r="D107" s="6"/>
      <c r="E107" s="6"/>
      <c r="F107" s="59"/>
      <c r="G107" s="60"/>
      <c r="H107" s="61"/>
      <c r="J107" s="19">
        <v>0</v>
      </c>
      <c r="K107" s="19">
        <v>0</v>
      </c>
      <c r="L107" s="23">
        <f t="shared" si="0"/>
        <v>1</v>
      </c>
      <c r="M107" s="21" t="b">
        <f t="shared" si="1"/>
        <v>1</v>
      </c>
      <c r="N107" s="24"/>
      <c r="O107" s="24"/>
      <c r="P107" s="24"/>
    </row>
    <row r="108" spans="1:702" ht="20.100000000000001" customHeight="1" x14ac:dyDescent="0.3">
      <c r="A108" s="107" t="s">
        <v>28</v>
      </c>
      <c r="B108" s="108"/>
      <c r="C108" s="108"/>
      <c r="D108" s="16">
        <v>1</v>
      </c>
      <c r="E108" s="105"/>
      <c r="F108" s="105"/>
      <c r="G108" s="105"/>
      <c r="H108" s="106"/>
      <c r="J108" s="19">
        <v>0</v>
      </c>
      <c r="K108" s="19">
        <v>0</v>
      </c>
      <c r="L108" s="23" t="str">
        <f t="shared" si="0"/>
        <v/>
      </c>
      <c r="M108" s="21" t="b">
        <f t="shared" si="1"/>
        <v>0</v>
      </c>
      <c r="N108" s="24"/>
      <c r="O108" s="24"/>
      <c r="P108" s="24"/>
    </row>
    <row r="109" spans="1:702" ht="20.100000000000001" customHeight="1" x14ac:dyDescent="0.3">
      <c r="A109" s="57" t="s">
        <v>64</v>
      </c>
      <c r="B109" s="58"/>
      <c r="C109" s="14"/>
      <c r="D109" s="15"/>
      <c r="E109" s="15"/>
      <c r="F109" s="111"/>
      <c r="G109" s="112"/>
      <c r="H109" s="113"/>
      <c r="J109" s="19">
        <v>0</v>
      </c>
      <c r="K109" s="19">
        <v>0</v>
      </c>
      <c r="L109" s="23">
        <f t="shared" si="0"/>
        <v>1</v>
      </c>
      <c r="M109" s="21" t="b">
        <f t="shared" si="1"/>
        <v>1</v>
      </c>
      <c r="N109" s="24"/>
      <c r="O109" s="24"/>
      <c r="P109" s="24"/>
    </row>
    <row r="110" spans="1:702" ht="20.100000000000001" customHeight="1" x14ac:dyDescent="0.3">
      <c r="A110" s="57" t="s">
        <v>65</v>
      </c>
      <c r="B110" s="58"/>
      <c r="C110" s="5"/>
      <c r="D110" s="6"/>
      <c r="E110" s="6"/>
      <c r="F110" s="59"/>
      <c r="G110" s="60"/>
      <c r="H110" s="61"/>
      <c r="J110" s="19">
        <v>0</v>
      </c>
      <c r="K110" s="19">
        <v>0</v>
      </c>
      <c r="L110" s="23">
        <f t="shared" si="0"/>
        <v>1</v>
      </c>
      <c r="M110" s="21" t="b">
        <f t="shared" si="1"/>
        <v>1</v>
      </c>
      <c r="N110" s="24"/>
      <c r="O110" s="24"/>
      <c r="P110" s="24"/>
    </row>
    <row r="111" spans="1:702" ht="20.100000000000001" customHeight="1" x14ac:dyDescent="0.3">
      <c r="A111" s="57" t="s">
        <v>66</v>
      </c>
      <c r="B111" s="58"/>
      <c r="C111" s="5"/>
      <c r="D111" s="6"/>
      <c r="E111" s="6"/>
      <c r="F111" s="59"/>
      <c r="G111" s="60"/>
      <c r="H111" s="61"/>
      <c r="J111" s="19">
        <v>0</v>
      </c>
      <c r="K111" s="19">
        <v>0</v>
      </c>
      <c r="L111" s="23">
        <f t="shared" si="0"/>
        <v>1</v>
      </c>
      <c r="M111" s="21" t="b">
        <f t="shared" si="1"/>
        <v>1</v>
      </c>
      <c r="N111" s="24"/>
      <c r="O111" s="24"/>
      <c r="P111" s="24"/>
    </row>
    <row r="112" spans="1:702" ht="20.100000000000001" customHeight="1" x14ac:dyDescent="0.3">
      <c r="A112" s="72" t="s">
        <v>67</v>
      </c>
      <c r="B112" s="73"/>
      <c r="C112" s="6"/>
      <c r="D112" s="6"/>
      <c r="E112" s="6"/>
      <c r="F112" s="62"/>
      <c r="G112" s="62"/>
      <c r="H112" s="62"/>
      <c r="J112" s="19">
        <v>0</v>
      </c>
      <c r="K112" s="19">
        <v>0</v>
      </c>
      <c r="L112" s="23">
        <f t="shared" si="0"/>
        <v>1</v>
      </c>
      <c r="M112" s="21" t="b">
        <f t="shared" si="1"/>
        <v>1</v>
      </c>
      <c r="N112" s="24"/>
      <c r="O112" s="24"/>
      <c r="P112" s="24"/>
    </row>
    <row r="113" spans="1:18" ht="20.100000000000001" customHeight="1" x14ac:dyDescent="0.3">
      <c r="A113" s="68"/>
      <c r="B113" s="68"/>
      <c r="C113" s="64"/>
      <c r="D113" s="64"/>
      <c r="E113" s="64"/>
      <c r="F113" s="64"/>
      <c r="G113" s="64"/>
      <c r="H113" s="64"/>
      <c r="J113" s="19">
        <v>0</v>
      </c>
      <c r="K113" s="19">
        <v>0</v>
      </c>
      <c r="L113" s="23" t="str">
        <f t="shared" si="0"/>
        <v/>
      </c>
      <c r="M113" s="21" t="b">
        <f t="shared" si="1"/>
        <v>0</v>
      </c>
      <c r="N113" s="24"/>
      <c r="O113" s="24"/>
      <c r="P113" s="24"/>
    </row>
    <row r="114" spans="1:18" ht="20.100000000000001" customHeight="1" x14ac:dyDescent="0.3">
      <c r="A114" s="64"/>
      <c r="B114" s="64"/>
      <c r="C114" s="64"/>
      <c r="D114" s="64"/>
      <c r="E114" s="64"/>
      <c r="F114" s="64"/>
      <c r="G114" s="64"/>
      <c r="H114" s="64"/>
      <c r="J114" s="19">
        <v>0</v>
      </c>
      <c r="K114" s="19">
        <v>0</v>
      </c>
      <c r="L114" s="23" t="str">
        <f t="shared" si="0"/>
        <v/>
      </c>
      <c r="M114" s="21" t="b">
        <f t="shared" si="1"/>
        <v>0</v>
      </c>
    </row>
    <row r="115" spans="1:18" ht="20.100000000000001" customHeight="1" x14ac:dyDescent="0.3">
      <c r="A115" s="64"/>
      <c r="B115" s="64"/>
      <c r="C115" s="64"/>
      <c r="D115" s="64"/>
      <c r="E115" s="64"/>
      <c r="F115" s="64"/>
      <c r="G115" s="64"/>
      <c r="H115" s="64"/>
      <c r="J115" s="19">
        <v>0</v>
      </c>
      <c r="K115" s="19">
        <v>0</v>
      </c>
      <c r="L115" s="23" t="str">
        <f>IF(OR(A115="",D115&lt;&gt;0,J115&lt;&gt;0),"",1)</f>
        <v/>
      </c>
      <c r="M115" s="21" t="b">
        <f>ISNUMBER(L115)</f>
        <v>0</v>
      </c>
      <c r="N115" s="22"/>
      <c r="O115" s="22"/>
      <c r="P115" s="22"/>
      <c r="R115" s="22"/>
    </row>
    <row r="116" spans="1:18" ht="20.100000000000001" customHeight="1" x14ac:dyDescent="0.3">
      <c r="A116" s="64"/>
      <c r="B116" s="64"/>
      <c r="C116" s="64"/>
      <c r="D116" s="64"/>
      <c r="E116" s="64"/>
      <c r="F116" s="64"/>
      <c r="G116" s="64"/>
      <c r="H116" s="64"/>
      <c r="J116" s="19">
        <v>0</v>
      </c>
      <c r="K116" s="19">
        <v>0</v>
      </c>
      <c r="L116" s="23" t="str">
        <f>IF(OR(A116="",D116&lt;&gt;0,J116&lt;&gt;0),"",1)</f>
        <v/>
      </c>
      <c r="M116" s="21" t="b">
        <f>ISNUMBER(L116)</f>
        <v>0</v>
      </c>
      <c r="R116" s="22"/>
    </row>
    <row r="117" spans="1:18" ht="20.100000000000001" customHeight="1" x14ac:dyDescent="0.3">
      <c r="A117" s="64"/>
      <c r="B117" s="64"/>
      <c r="C117" s="64"/>
      <c r="D117" s="64"/>
      <c r="E117" s="64"/>
      <c r="F117" s="64"/>
      <c r="G117" s="64"/>
      <c r="H117" s="64"/>
      <c r="J117" s="19">
        <v>0</v>
      </c>
      <c r="K117" s="19">
        <v>0</v>
      </c>
      <c r="L117" s="23" t="str">
        <f>IF(OR(A117="",D117&lt;&gt;0,J117&lt;&gt;0),"",1)</f>
        <v/>
      </c>
      <c r="M117" s="21" t="b">
        <f>ISNUMBER(L117)</f>
        <v>0</v>
      </c>
      <c r="R117" s="22"/>
    </row>
    <row r="118" spans="1:18" ht="20.100000000000001" customHeight="1" x14ac:dyDescent="0.3">
      <c r="A118" s="64"/>
      <c r="B118" s="64"/>
      <c r="C118" s="64"/>
      <c r="D118" s="64"/>
      <c r="E118" s="64"/>
      <c r="F118" s="64"/>
      <c r="G118" s="64"/>
      <c r="H118" s="64"/>
      <c r="J118" s="19">
        <v>0</v>
      </c>
      <c r="K118" s="19">
        <v>0</v>
      </c>
      <c r="L118" s="23" t="str">
        <f>IF(OR(A118="",D118&lt;&gt;0,J118&lt;&gt;0),"",1)</f>
        <v/>
      </c>
      <c r="M118" s="21" t="b">
        <f>ISNUMBER(L118)</f>
        <v>0</v>
      </c>
      <c r="R118" s="22"/>
    </row>
    <row r="119" spans="1:18" ht="20.100000000000001" customHeight="1" x14ac:dyDescent="0.3">
      <c r="A119" s="65"/>
      <c r="B119" s="65"/>
      <c r="C119" s="65"/>
      <c r="D119" s="65"/>
      <c r="E119" s="65"/>
      <c r="F119" s="65"/>
      <c r="G119" s="65"/>
      <c r="H119" s="65"/>
      <c r="J119" s="19">
        <v>0</v>
      </c>
      <c r="K119" s="19">
        <v>0</v>
      </c>
      <c r="L119" s="23" t="str">
        <f>IF(OR(A119="",D119&lt;&gt;0,J119&lt;&gt;0),"",1)</f>
        <v/>
      </c>
      <c r="M119" s="21" t="b">
        <f>ISNUMBER(L119)</f>
        <v>0</v>
      </c>
      <c r="R119" s="22"/>
    </row>
    <row r="120" spans="1:18" ht="20.100000000000001" customHeight="1" x14ac:dyDescent="0.3">
      <c r="A120" s="64"/>
      <c r="B120" s="64"/>
      <c r="C120" s="64"/>
      <c r="D120" s="64"/>
      <c r="E120" s="64"/>
      <c r="F120" s="64"/>
      <c r="G120" s="64"/>
      <c r="H120" s="64"/>
      <c r="L120" s="19">
        <f>SUM(L46:L119)</f>
        <v>52</v>
      </c>
      <c r="R120" s="22"/>
    </row>
    <row r="121" spans="1:18" ht="20.100000000000001" customHeight="1" x14ac:dyDescent="0.3">
      <c r="A121" s="64"/>
      <c r="B121" s="64"/>
      <c r="C121" s="64"/>
      <c r="D121" s="64"/>
      <c r="E121" s="64"/>
      <c r="F121" s="64"/>
      <c r="G121" s="64"/>
      <c r="H121" s="64"/>
      <c r="R121" s="22"/>
    </row>
    <row r="122" spans="1:18" ht="20.100000000000001" customHeight="1" x14ac:dyDescent="0.3">
      <c r="A122" s="64"/>
      <c r="B122" s="64"/>
      <c r="C122" s="64"/>
      <c r="D122" s="64"/>
      <c r="E122" s="64"/>
      <c r="F122" s="64"/>
      <c r="G122" s="64"/>
      <c r="H122" s="64"/>
      <c r="R122" s="22"/>
    </row>
    <row r="123" spans="1:18" ht="20.100000000000001" customHeight="1" x14ac:dyDescent="0.3">
      <c r="A123" s="66"/>
      <c r="B123" s="66"/>
      <c r="C123" s="66"/>
      <c r="D123" s="66"/>
      <c r="E123" s="66"/>
      <c r="F123" s="66"/>
      <c r="G123" s="66"/>
      <c r="H123" s="66"/>
    </row>
    <row r="124" spans="1:18" ht="20.100000000000001" customHeight="1" x14ac:dyDescent="0.3">
      <c r="A124" s="64"/>
      <c r="B124" s="64"/>
      <c r="C124" s="64"/>
      <c r="D124" s="64"/>
      <c r="E124" s="64"/>
      <c r="F124" s="64"/>
      <c r="G124" s="64"/>
      <c r="H124" s="64"/>
      <c r="R124" s="22"/>
    </row>
    <row r="125" spans="1:18" ht="20.100000000000001" customHeight="1" x14ac:dyDescent="0.3">
      <c r="A125" s="64"/>
      <c r="B125" s="64"/>
      <c r="C125" s="64"/>
      <c r="D125" s="64"/>
      <c r="E125" s="64"/>
      <c r="F125" s="64"/>
      <c r="G125" s="64"/>
      <c r="H125" s="64"/>
    </row>
    <row r="126" spans="1:18" ht="20.100000000000001" customHeight="1" x14ac:dyDescent="0.3">
      <c r="A126" s="64"/>
      <c r="B126" s="64"/>
      <c r="C126" s="64"/>
      <c r="D126" s="64"/>
      <c r="E126" s="64"/>
      <c r="F126" s="64"/>
      <c r="G126" s="64"/>
      <c r="H126" s="64"/>
      <c r="J126" s="27"/>
    </row>
    <row r="127" spans="1:18" ht="20.100000000000001" customHeight="1" x14ac:dyDescent="0.3">
      <c r="A127" s="64"/>
      <c r="B127" s="64"/>
      <c r="C127" s="64"/>
      <c r="D127" s="64"/>
      <c r="E127" s="64"/>
      <c r="F127" s="64"/>
      <c r="G127" s="64"/>
      <c r="H127" s="64"/>
    </row>
    <row r="128" spans="1:18" ht="20.100000000000001" customHeight="1" x14ac:dyDescent="0.3">
      <c r="A128" s="64"/>
      <c r="B128" s="64"/>
      <c r="C128" s="64"/>
      <c r="D128" s="64"/>
      <c r="E128" s="64"/>
      <c r="F128" s="64"/>
      <c r="G128" s="64"/>
      <c r="H128" s="64"/>
    </row>
    <row r="129" spans="1:14" ht="20.100000000000001" customHeight="1" x14ac:dyDescent="0.3">
      <c r="A129" s="65"/>
      <c r="B129" s="65"/>
      <c r="C129" s="65"/>
      <c r="D129" s="65"/>
      <c r="E129" s="65"/>
      <c r="F129" s="65"/>
      <c r="G129" s="65"/>
      <c r="H129" s="65"/>
      <c r="M129" s="21" cm="1">
        <f t="array" ref="M129">IFERROR(ROW(INDEX(M133:M222,MATCH(TRUE,INDEX((M133:M222&lt;&gt;FALSE),0),0))),0)</f>
        <v>0</v>
      </c>
    </row>
    <row r="130" spans="1:14" ht="20.100000000000001" customHeight="1" x14ac:dyDescent="0.3">
      <c r="A130" s="64"/>
      <c r="B130" s="64"/>
      <c r="C130" s="64"/>
      <c r="D130" s="64"/>
      <c r="E130" s="64"/>
      <c r="F130" s="64"/>
      <c r="G130" s="64"/>
      <c r="H130" s="64"/>
      <c r="M130" s="21">
        <f>IF((M129-10)&gt;133,(M129-10),133)</f>
        <v>133</v>
      </c>
      <c r="N130" s="24"/>
    </row>
    <row r="131" spans="1:14" ht="2.1" customHeight="1" x14ac:dyDescent="0.3">
      <c r="A131" s="64"/>
      <c r="B131" s="64"/>
      <c r="C131" s="64"/>
      <c r="D131" s="64"/>
      <c r="E131" s="64"/>
      <c r="F131" s="64"/>
      <c r="G131" s="64"/>
      <c r="H131" s="64"/>
      <c r="N131" s="24"/>
    </row>
    <row r="132" spans="1:14" ht="2.1" customHeight="1" x14ac:dyDescent="0.3">
      <c r="A132" s="65"/>
      <c r="B132" s="65"/>
      <c r="C132" s="65"/>
      <c r="D132" s="65"/>
      <c r="E132" s="65"/>
      <c r="F132" s="65"/>
      <c r="G132" s="65"/>
      <c r="H132" s="65"/>
      <c r="N132" s="24"/>
    </row>
    <row r="133" spans="1:14" ht="19.350000000000001" customHeight="1" x14ac:dyDescent="0.3">
      <c r="A133" s="63"/>
      <c r="B133" s="63"/>
      <c r="C133" s="63"/>
      <c r="D133" s="63"/>
      <c r="E133" s="63"/>
      <c r="F133" s="63"/>
      <c r="G133" s="63"/>
      <c r="H133" s="63"/>
      <c r="J133" s="19">
        <v>0</v>
      </c>
    </row>
    <row r="134" spans="1:14" ht="19.350000000000001" customHeight="1" x14ac:dyDescent="0.3">
      <c r="A134" s="63"/>
      <c r="B134" s="63"/>
      <c r="C134" s="63"/>
      <c r="D134" s="63"/>
      <c r="E134" s="63"/>
      <c r="F134" s="63"/>
      <c r="G134" s="63"/>
      <c r="H134" s="63"/>
      <c r="J134" s="19">
        <v>0</v>
      </c>
    </row>
    <row r="135" spans="1:14" ht="19.350000000000001" customHeight="1" x14ac:dyDescent="0.3">
      <c r="A135" s="63"/>
      <c r="B135" s="63"/>
      <c r="C135" s="63"/>
      <c r="D135" s="63"/>
      <c r="E135" s="63"/>
      <c r="F135" s="63"/>
      <c r="G135" s="63"/>
      <c r="H135" s="63"/>
    </row>
    <row r="136" spans="1:14" ht="19.350000000000001" customHeight="1" x14ac:dyDescent="0.3">
      <c r="A136" s="63"/>
      <c r="B136" s="63"/>
      <c r="C136" s="63"/>
      <c r="D136" s="63"/>
      <c r="E136" s="63"/>
      <c r="F136" s="63"/>
      <c r="G136" s="63"/>
      <c r="H136" s="63"/>
    </row>
    <row r="137" spans="1:14" ht="19.350000000000001" customHeight="1" x14ac:dyDescent="0.3">
      <c r="A137" s="63"/>
      <c r="B137" s="63"/>
      <c r="C137" s="63"/>
      <c r="D137" s="63"/>
      <c r="E137" s="63"/>
      <c r="F137" s="63"/>
      <c r="G137" s="63"/>
      <c r="H137" s="63"/>
    </row>
    <row r="138" spans="1:14" ht="19.350000000000001" customHeight="1" x14ac:dyDescent="0.3">
      <c r="A138" s="63"/>
      <c r="B138" s="63"/>
      <c r="C138" s="63"/>
      <c r="D138" s="63"/>
      <c r="E138" s="63"/>
      <c r="F138" s="63"/>
      <c r="G138" s="63"/>
      <c r="H138" s="63"/>
    </row>
    <row r="139" spans="1:14" ht="19.350000000000001" customHeight="1" x14ac:dyDescent="0.3">
      <c r="A139" s="63"/>
      <c r="B139" s="63"/>
      <c r="C139" s="63"/>
      <c r="D139" s="63"/>
      <c r="E139" s="63"/>
      <c r="F139" s="63"/>
      <c r="G139" s="63"/>
      <c r="H139" s="63"/>
    </row>
    <row r="140" spans="1:14" ht="19.350000000000001" customHeight="1" x14ac:dyDescent="0.3">
      <c r="A140" s="63"/>
      <c r="B140" s="63"/>
      <c r="C140" s="63"/>
      <c r="D140" s="63"/>
      <c r="E140" s="63"/>
      <c r="F140" s="63"/>
      <c r="G140" s="63"/>
      <c r="H140" s="63"/>
    </row>
    <row r="141" spans="1:14" ht="19.350000000000001" customHeight="1" x14ac:dyDescent="0.3">
      <c r="A141" s="63"/>
      <c r="B141" s="63"/>
      <c r="C141" s="63"/>
      <c r="D141" s="63"/>
      <c r="E141" s="63"/>
      <c r="F141" s="63"/>
      <c r="G141" s="63"/>
      <c r="H141" s="63"/>
    </row>
    <row r="142" spans="1:14" ht="19.350000000000001" customHeight="1" x14ac:dyDescent="0.3">
      <c r="A142" s="63"/>
      <c r="B142" s="63"/>
      <c r="C142" s="63"/>
      <c r="D142" s="63"/>
      <c r="E142" s="63"/>
      <c r="F142" s="63"/>
      <c r="G142" s="63"/>
      <c r="H142" s="63"/>
    </row>
    <row r="143" spans="1:14" ht="19.350000000000001" customHeight="1" x14ac:dyDescent="0.3">
      <c r="A143" s="63"/>
      <c r="B143" s="63"/>
      <c r="C143" s="63"/>
      <c r="D143" s="63"/>
      <c r="E143" s="63"/>
      <c r="F143" s="63"/>
      <c r="G143" s="63"/>
      <c r="H143" s="63"/>
      <c r="I143" s="3"/>
      <c r="M143" s="21" t="b">
        <f>ISNUMBER(SEARCH("enter description", A143))</f>
        <v>0</v>
      </c>
    </row>
    <row r="144" spans="1:14" ht="19.350000000000001" customHeight="1" x14ac:dyDescent="0.3">
      <c r="A144" s="63"/>
      <c r="B144" s="63"/>
      <c r="C144" s="63"/>
      <c r="D144" s="63"/>
      <c r="E144" s="63"/>
      <c r="F144" s="63"/>
      <c r="G144" s="63"/>
      <c r="H144" s="63"/>
      <c r="I144" s="3"/>
    </row>
    <row r="145" spans="1:13" ht="19.350000000000001" customHeight="1" x14ac:dyDescent="0.3">
      <c r="A145" s="63"/>
      <c r="B145" s="63"/>
      <c r="C145" s="63"/>
      <c r="D145" s="63"/>
      <c r="E145" s="63"/>
      <c r="F145" s="63"/>
      <c r="G145" s="63"/>
      <c r="H145" s="63"/>
      <c r="I145" s="3"/>
    </row>
    <row r="146" spans="1:13" ht="19.350000000000001" customHeight="1" x14ac:dyDescent="0.3">
      <c r="A146" s="67"/>
      <c r="B146" s="67"/>
      <c r="C146" s="67"/>
      <c r="D146" s="67"/>
      <c r="E146" s="67"/>
      <c r="F146" s="67"/>
      <c r="G146" s="67"/>
      <c r="H146" s="67"/>
    </row>
    <row r="147" spans="1:13" ht="19.350000000000001" customHeight="1" x14ac:dyDescent="0.3">
      <c r="A147" s="63"/>
      <c r="B147" s="63"/>
      <c r="C147" s="63"/>
      <c r="D147" s="63"/>
      <c r="E147" s="63"/>
      <c r="F147" s="63"/>
      <c r="G147" s="63"/>
      <c r="H147" s="63"/>
    </row>
    <row r="148" spans="1:13" ht="19.350000000000001" customHeight="1" x14ac:dyDescent="0.3">
      <c r="A148" s="63"/>
      <c r="B148" s="63"/>
      <c r="C148" s="63"/>
      <c r="D148" s="63"/>
      <c r="E148" s="63"/>
      <c r="F148" s="63"/>
      <c r="G148" s="63"/>
      <c r="H148" s="63"/>
    </row>
    <row r="149" spans="1:13" ht="19.350000000000001" customHeight="1" x14ac:dyDescent="0.3">
      <c r="A149" s="63"/>
      <c r="B149" s="63"/>
      <c r="C149" s="63"/>
      <c r="D149" s="63"/>
      <c r="E149" s="63"/>
      <c r="F149" s="63"/>
      <c r="G149" s="63"/>
      <c r="H149" s="63"/>
    </row>
    <row r="150" spans="1:13" ht="19.350000000000001" customHeight="1" x14ac:dyDescent="0.3">
      <c r="A150" s="63"/>
      <c r="B150" s="63"/>
      <c r="C150" s="63"/>
      <c r="D150" s="63"/>
      <c r="E150" s="63"/>
      <c r="F150" s="63"/>
      <c r="G150" s="63"/>
      <c r="H150" s="63"/>
    </row>
    <row r="151" spans="1:13" ht="19.350000000000001" customHeight="1" x14ac:dyDescent="0.3">
      <c r="A151" s="63"/>
      <c r="B151" s="63"/>
      <c r="C151" s="63"/>
      <c r="D151" s="63"/>
      <c r="E151" s="63"/>
      <c r="F151" s="63"/>
      <c r="G151" s="63"/>
      <c r="H151" s="63"/>
    </row>
    <row r="152" spans="1:13" ht="19.350000000000001" customHeight="1" x14ac:dyDescent="0.3">
      <c r="A152" s="63"/>
      <c r="B152" s="63"/>
      <c r="C152" s="63"/>
      <c r="D152" s="63"/>
      <c r="E152" s="63"/>
      <c r="F152" s="63"/>
      <c r="G152" s="63"/>
      <c r="H152" s="63"/>
    </row>
    <row r="153" spans="1:13" ht="19.350000000000001" customHeight="1" x14ac:dyDescent="0.3">
      <c r="A153" s="63"/>
      <c r="B153" s="63"/>
      <c r="C153" s="63"/>
      <c r="D153" s="63"/>
      <c r="E153" s="63"/>
      <c r="F153" s="63"/>
      <c r="G153" s="63"/>
      <c r="H153" s="63"/>
    </row>
    <row r="154" spans="1:13" ht="19.350000000000001" customHeight="1" x14ac:dyDescent="0.3">
      <c r="A154" s="63"/>
      <c r="B154" s="63"/>
      <c r="C154" s="63"/>
      <c r="D154" s="63"/>
      <c r="E154" s="63"/>
      <c r="F154" s="63"/>
      <c r="G154" s="63"/>
      <c r="H154" s="63"/>
      <c r="M154" s="21" t="b">
        <f>ISNUMBER(SEARCH("enter description", A154))</f>
        <v>0</v>
      </c>
    </row>
    <row r="155" spans="1:13" ht="19.350000000000001" customHeight="1" x14ac:dyDescent="0.3">
      <c r="A155" s="63"/>
      <c r="B155" s="63"/>
      <c r="C155" s="63"/>
      <c r="D155" s="63"/>
      <c r="E155" s="63"/>
      <c r="F155" s="63"/>
      <c r="G155" s="63"/>
      <c r="H155" s="63"/>
    </row>
    <row r="156" spans="1:13" ht="19.350000000000001" customHeight="1" x14ac:dyDescent="0.3">
      <c r="A156" s="63"/>
      <c r="B156" s="63"/>
      <c r="C156" s="63"/>
      <c r="D156" s="63"/>
      <c r="E156" s="63"/>
      <c r="F156" s="63"/>
      <c r="G156" s="63"/>
      <c r="H156" s="63"/>
    </row>
    <row r="157" spans="1:13" ht="19.350000000000001" customHeight="1" x14ac:dyDescent="0.3">
      <c r="A157" s="63"/>
      <c r="B157" s="63"/>
      <c r="C157" s="63"/>
      <c r="D157" s="63"/>
      <c r="E157" s="63"/>
      <c r="F157" s="63"/>
      <c r="G157" s="63"/>
      <c r="H157" s="63"/>
    </row>
    <row r="158" spans="1:13" ht="19.350000000000001" customHeight="1" x14ac:dyDescent="0.3">
      <c r="A158" s="63"/>
      <c r="B158" s="63"/>
      <c r="C158" s="63"/>
      <c r="D158" s="63"/>
      <c r="E158" s="63"/>
      <c r="F158" s="63"/>
      <c r="G158" s="63"/>
      <c r="H158" s="63"/>
    </row>
    <row r="159" spans="1:13" ht="19.350000000000001" customHeight="1" x14ac:dyDescent="0.3">
      <c r="A159" s="63"/>
      <c r="B159" s="63"/>
      <c r="C159" s="63"/>
      <c r="D159" s="63"/>
      <c r="E159" s="63"/>
      <c r="F159" s="63"/>
      <c r="G159" s="63"/>
      <c r="H159" s="63"/>
    </row>
    <row r="160" spans="1:13" ht="19.350000000000001" customHeight="1" x14ac:dyDescent="0.3">
      <c r="A160" s="63"/>
      <c r="B160" s="63"/>
      <c r="C160" s="63"/>
      <c r="D160" s="63"/>
      <c r="E160" s="63"/>
      <c r="F160" s="63"/>
      <c r="G160" s="63"/>
      <c r="H160" s="63"/>
    </row>
    <row r="161" spans="1:13" ht="19.350000000000001" customHeight="1" x14ac:dyDescent="0.3">
      <c r="A161" s="63"/>
      <c r="B161" s="63"/>
      <c r="C161" s="63"/>
      <c r="D161" s="63"/>
      <c r="E161" s="63"/>
      <c r="F161" s="63"/>
      <c r="G161" s="63"/>
      <c r="H161" s="63"/>
    </row>
    <row r="162" spans="1:13" ht="19.350000000000001" customHeight="1" x14ac:dyDescent="0.3">
      <c r="A162" s="63"/>
      <c r="B162" s="63"/>
      <c r="C162" s="63"/>
      <c r="D162" s="63"/>
      <c r="E162" s="63"/>
      <c r="F162" s="63"/>
      <c r="G162" s="63"/>
      <c r="H162" s="63"/>
    </row>
    <row r="163" spans="1:13" ht="19.350000000000001" customHeight="1" x14ac:dyDescent="0.3">
      <c r="A163" s="63"/>
      <c r="B163" s="63"/>
      <c r="C163" s="63"/>
      <c r="D163" s="63"/>
      <c r="E163" s="63"/>
      <c r="F163" s="63"/>
      <c r="G163" s="63"/>
      <c r="H163" s="63"/>
    </row>
    <row r="164" spans="1:13" ht="19.350000000000001" customHeight="1" x14ac:dyDescent="0.3">
      <c r="A164" s="63"/>
      <c r="B164" s="63"/>
      <c r="C164" s="63"/>
      <c r="D164" s="63"/>
      <c r="E164" s="63"/>
      <c r="F164" s="63"/>
      <c r="G164" s="63"/>
      <c r="H164" s="63"/>
    </row>
    <row r="165" spans="1:13" ht="19.350000000000001" customHeight="1" x14ac:dyDescent="0.3">
      <c r="A165" s="63"/>
      <c r="B165" s="63"/>
      <c r="C165" s="63"/>
      <c r="D165" s="63"/>
      <c r="E165" s="63"/>
      <c r="F165" s="63"/>
      <c r="G165" s="63"/>
      <c r="H165" s="63"/>
      <c r="M165" s="21" t="b">
        <f>ISNUMBER(SEARCH("enter description", A165))</f>
        <v>0</v>
      </c>
    </row>
    <row r="166" spans="1:13" ht="19.350000000000001" customHeight="1" x14ac:dyDescent="0.3">
      <c r="A166" s="63"/>
      <c r="B166" s="63"/>
      <c r="C166" s="63"/>
      <c r="D166" s="63"/>
      <c r="E166" s="63"/>
      <c r="F166" s="63"/>
      <c r="G166" s="63"/>
      <c r="H166" s="63"/>
    </row>
    <row r="167" spans="1:13" ht="19.350000000000001" customHeight="1" x14ac:dyDescent="0.3">
      <c r="A167" s="63"/>
      <c r="B167" s="63"/>
      <c r="C167" s="63"/>
      <c r="D167" s="63"/>
      <c r="E167" s="63"/>
      <c r="F167" s="63"/>
      <c r="G167" s="63"/>
      <c r="H167" s="63"/>
    </row>
    <row r="168" spans="1:13" ht="19.350000000000001" customHeight="1" x14ac:dyDescent="0.3">
      <c r="A168" s="63"/>
      <c r="B168" s="63"/>
      <c r="C168" s="63"/>
      <c r="D168" s="63"/>
      <c r="E168" s="63"/>
      <c r="F168" s="63"/>
      <c r="G168" s="63"/>
      <c r="H168" s="63"/>
    </row>
    <row r="169" spans="1:13" ht="19.350000000000001" customHeight="1" x14ac:dyDescent="0.3">
      <c r="A169" s="63"/>
      <c r="B169" s="63"/>
      <c r="C169" s="63"/>
      <c r="D169" s="63"/>
      <c r="E169" s="63"/>
      <c r="F169" s="63"/>
      <c r="G169" s="63"/>
      <c r="H169" s="63"/>
    </row>
    <row r="170" spans="1:13" ht="19.350000000000001" customHeight="1" x14ac:dyDescent="0.3">
      <c r="A170" s="63"/>
      <c r="B170" s="63"/>
      <c r="C170" s="63"/>
      <c r="D170" s="63"/>
      <c r="E170" s="63"/>
      <c r="F170" s="63"/>
      <c r="G170" s="63"/>
      <c r="H170" s="63"/>
    </row>
    <row r="171" spans="1:13" ht="19.350000000000001" customHeight="1" x14ac:dyDescent="0.3">
      <c r="A171" s="63"/>
      <c r="B171" s="63"/>
      <c r="C171" s="63"/>
      <c r="D171" s="63"/>
      <c r="E171" s="63"/>
      <c r="F171" s="63"/>
      <c r="G171" s="63"/>
      <c r="H171" s="63"/>
    </row>
    <row r="172" spans="1:13" ht="19.350000000000001" customHeight="1" x14ac:dyDescent="0.3">
      <c r="A172" s="63"/>
      <c r="B172" s="63"/>
      <c r="C172" s="63"/>
      <c r="D172" s="63"/>
      <c r="E172" s="63"/>
      <c r="F172" s="63"/>
      <c r="G172" s="63"/>
      <c r="H172" s="63"/>
    </row>
    <row r="173" spans="1:13" ht="19.350000000000001" customHeight="1" x14ac:dyDescent="0.3">
      <c r="A173" s="63"/>
      <c r="B173" s="63"/>
      <c r="C173" s="63"/>
      <c r="D173" s="63"/>
      <c r="E173" s="63"/>
      <c r="F173" s="63"/>
      <c r="G173" s="63"/>
      <c r="H173" s="63"/>
    </row>
    <row r="174" spans="1:13" ht="19.350000000000001" customHeight="1" x14ac:dyDescent="0.3">
      <c r="A174" s="63"/>
      <c r="B174" s="63"/>
      <c r="C174" s="63"/>
      <c r="D174" s="63"/>
      <c r="E174" s="63"/>
      <c r="F174" s="63"/>
      <c r="G174" s="63"/>
      <c r="H174" s="63"/>
    </row>
    <row r="175" spans="1:13" ht="19.350000000000001" customHeight="1" x14ac:dyDescent="0.3">
      <c r="A175" s="63"/>
      <c r="B175" s="63"/>
      <c r="C175" s="63"/>
      <c r="D175" s="63"/>
      <c r="E175" s="63"/>
      <c r="F175" s="63"/>
      <c r="G175" s="63"/>
      <c r="H175" s="63"/>
    </row>
    <row r="176" spans="1:13" ht="19.350000000000001" customHeight="1" x14ac:dyDescent="0.3">
      <c r="A176" s="63"/>
      <c r="B176" s="63"/>
      <c r="C176" s="63"/>
      <c r="D176" s="63"/>
      <c r="E176" s="63"/>
      <c r="F176" s="63"/>
      <c r="G176" s="63"/>
      <c r="H176" s="63"/>
      <c r="J176" s="19">
        <v>0</v>
      </c>
      <c r="M176" s="21" t="b">
        <f>ISNUMBER(SEARCH("enter description", A176))</f>
        <v>0</v>
      </c>
    </row>
    <row r="177" spans="1:16381" ht="2.1" customHeight="1" x14ac:dyDescent="0.3">
      <c r="A177" s="63"/>
      <c r="B177" s="63"/>
      <c r="C177" s="63"/>
      <c r="D177" s="63"/>
      <c r="E177" s="63"/>
      <c r="F177" s="63"/>
      <c r="G177" s="63"/>
      <c r="H177" s="63"/>
    </row>
    <row r="178" spans="1:16381" ht="2.1" customHeight="1" x14ac:dyDescent="0.3">
      <c r="A178" s="63"/>
      <c r="B178" s="63"/>
      <c r="C178" s="63"/>
      <c r="D178" s="63"/>
      <c r="E178" s="63"/>
      <c r="F178" s="63"/>
      <c r="G178" s="63"/>
      <c r="H178" s="63"/>
    </row>
    <row r="179" spans="1:16381" ht="19.350000000000001" customHeight="1" x14ac:dyDescent="0.3">
      <c r="A179" s="63"/>
      <c r="B179" s="63"/>
      <c r="C179" s="63"/>
      <c r="D179" s="63"/>
      <c r="E179" s="63"/>
      <c r="F179" s="63"/>
      <c r="G179" s="63"/>
      <c r="H179" s="63"/>
    </row>
    <row r="180" spans="1:16381" ht="19.350000000000001" customHeight="1" x14ac:dyDescent="0.3">
      <c r="A180" s="63"/>
      <c r="B180" s="63"/>
      <c r="C180" s="63"/>
      <c r="D180" s="63"/>
      <c r="E180" s="63"/>
      <c r="F180" s="63"/>
      <c r="G180" s="63"/>
      <c r="H180" s="63"/>
    </row>
    <row r="181" spans="1:16381" ht="19.350000000000001" customHeight="1" x14ac:dyDescent="0.3">
      <c r="A181" s="63"/>
      <c r="B181" s="63"/>
      <c r="C181" s="63"/>
      <c r="D181" s="63"/>
      <c r="E181" s="63"/>
      <c r="F181" s="63"/>
      <c r="G181" s="63"/>
      <c r="H181" s="63"/>
    </row>
    <row r="182" spans="1:16381" ht="19.350000000000001" customHeight="1" x14ac:dyDescent="0.3">
      <c r="A182" s="63"/>
      <c r="B182" s="63"/>
      <c r="C182" s="63"/>
      <c r="D182" s="63"/>
      <c r="E182" s="63"/>
      <c r="F182" s="63"/>
      <c r="G182" s="63"/>
      <c r="H182" s="63"/>
    </row>
    <row r="183" spans="1:16381" s="25" customFormat="1" ht="19.350000000000001" customHeight="1" x14ac:dyDescent="0.3">
      <c r="A183" s="63"/>
      <c r="B183" s="63"/>
      <c r="C183" s="63"/>
      <c r="D183" s="63"/>
      <c r="E183" s="63"/>
      <c r="F183" s="63"/>
      <c r="G183" s="63"/>
      <c r="H183" s="63"/>
      <c r="I183" s="2"/>
      <c r="J183" s="19"/>
      <c r="K183" s="19"/>
      <c r="L183" s="19"/>
      <c r="M183" s="21"/>
      <c r="N183" s="21"/>
      <c r="O183" s="21"/>
      <c r="P183" s="21"/>
      <c r="Q183" s="19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2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  <c r="ADY183" s="21"/>
      <c r="ADZ183" s="21"/>
      <c r="AEA183" s="21"/>
      <c r="AEB183" s="21"/>
      <c r="AEC183" s="21"/>
      <c r="AED183" s="21"/>
      <c r="AEE183" s="21"/>
      <c r="AEF183" s="21"/>
      <c r="AEG183" s="21"/>
      <c r="AEH183" s="21"/>
      <c r="AEI183" s="21"/>
      <c r="AEJ183" s="21"/>
      <c r="AEK183" s="21"/>
      <c r="AEL183" s="21"/>
      <c r="AEM183" s="21"/>
      <c r="AEN183" s="21"/>
      <c r="AEO183" s="21"/>
      <c r="AEP183" s="21"/>
      <c r="AEQ183" s="21"/>
      <c r="AER183" s="21"/>
      <c r="AES183" s="21"/>
      <c r="AET183" s="21"/>
      <c r="AEU183" s="21"/>
      <c r="AEV183" s="21"/>
      <c r="AEW183" s="21"/>
      <c r="AEX183" s="21"/>
      <c r="AEY183" s="21"/>
      <c r="AEZ183" s="21"/>
      <c r="AFA183" s="21"/>
      <c r="AFB183" s="21"/>
      <c r="AFC183" s="21"/>
      <c r="AFD183" s="21"/>
      <c r="AFE183" s="21"/>
      <c r="AFF183" s="21"/>
      <c r="AFG183" s="21"/>
      <c r="AFH183" s="21"/>
      <c r="AFI183" s="21"/>
      <c r="AFJ183" s="21"/>
      <c r="AFK183" s="21"/>
      <c r="AFL183" s="21"/>
      <c r="AFM183" s="21"/>
      <c r="AFN183" s="21"/>
      <c r="AFO183" s="21"/>
      <c r="AFP183" s="21"/>
      <c r="AFQ183" s="21"/>
      <c r="AFR183" s="21"/>
      <c r="AFS183" s="21"/>
      <c r="AFT183" s="21"/>
      <c r="AFU183" s="21"/>
      <c r="AFV183" s="21"/>
      <c r="AFW183" s="21"/>
      <c r="AFX183" s="21"/>
      <c r="AFY183" s="21"/>
      <c r="AFZ183" s="21"/>
      <c r="AGA183" s="21"/>
      <c r="AGB183" s="21"/>
      <c r="AGC183" s="21"/>
      <c r="AGD183" s="21"/>
      <c r="AGE183" s="21"/>
      <c r="AGF183" s="21"/>
      <c r="AGG183" s="21"/>
      <c r="AGH183" s="21"/>
      <c r="AGI183" s="21"/>
      <c r="AGJ183" s="21"/>
      <c r="AGK183" s="21"/>
      <c r="AGL183" s="21"/>
      <c r="AGM183" s="21"/>
      <c r="AGN183" s="21"/>
      <c r="AGO183" s="21"/>
      <c r="AGP183" s="21"/>
      <c r="AGQ183" s="21"/>
      <c r="AGR183" s="21"/>
      <c r="AGS183" s="21"/>
      <c r="AGT183" s="21"/>
      <c r="AGU183" s="21"/>
      <c r="AGV183" s="21"/>
      <c r="AGW183" s="21"/>
      <c r="AGX183" s="21"/>
      <c r="AGY183" s="21"/>
      <c r="AGZ183" s="21"/>
      <c r="AHA183" s="21"/>
      <c r="AHB183" s="21"/>
      <c r="AHC183" s="21"/>
      <c r="AHD183" s="21"/>
      <c r="AHE183" s="21"/>
      <c r="AHF183" s="21"/>
      <c r="AHG183" s="21"/>
      <c r="AHH183" s="21"/>
      <c r="AHI183" s="21"/>
      <c r="AHJ183" s="21"/>
      <c r="AHK183" s="21"/>
      <c r="AHL183" s="21"/>
      <c r="AHM183" s="21"/>
      <c r="AHN183" s="21"/>
      <c r="AHO183" s="21"/>
      <c r="AHP183" s="21"/>
      <c r="AHQ183" s="21"/>
      <c r="AHR183" s="21"/>
      <c r="AHS183" s="21"/>
      <c r="AHT183" s="21"/>
      <c r="AHU183" s="21"/>
      <c r="AHV183" s="21"/>
      <c r="AHW183" s="21"/>
      <c r="AHX183" s="21"/>
      <c r="AHY183" s="21"/>
      <c r="AHZ183" s="21"/>
      <c r="AIA183" s="21"/>
      <c r="AIB183" s="21"/>
      <c r="AIC183" s="21"/>
      <c r="AID183" s="21"/>
      <c r="AIE183" s="21"/>
      <c r="AIF183" s="21"/>
      <c r="AIG183" s="21"/>
      <c r="AIH183" s="21"/>
      <c r="AII183" s="21"/>
      <c r="AIJ183" s="21"/>
      <c r="AIK183" s="21"/>
      <c r="AIL183" s="21"/>
      <c r="AIM183" s="21"/>
      <c r="AIN183" s="21"/>
      <c r="AIO183" s="21"/>
      <c r="AIP183" s="21"/>
      <c r="AIQ183" s="21"/>
      <c r="AIR183" s="21"/>
      <c r="AIS183" s="21"/>
      <c r="AIT183" s="21"/>
      <c r="AIU183" s="21"/>
      <c r="AIV183" s="21"/>
      <c r="AIW183" s="21"/>
      <c r="AIX183" s="21"/>
      <c r="AIY183" s="21"/>
      <c r="AIZ183" s="21"/>
      <c r="AJA183" s="21"/>
      <c r="AJB183" s="21"/>
      <c r="AJC183" s="21"/>
      <c r="AJD183" s="21"/>
      <c r="AJE183" s="21"/>
      <c r="AJF183" s="21"/>
      <c r="AJG183" s="21"/>
      <c r="AJH183" s="21"/>
      <c r="AJI183" s="21"/>
      <c r="AJJ183" s="21"/>
      <c r="AJK183" s="21"/>
      <c r="AJL183" s="21"/>
      <c r="AJM183" s="21"/>
      <c r="AJN183" s="21"/>
      <c r="AJO183" s="21"/>
      <c r="AJP183" s="21"/>
      <c r="AJQ183" s="21"/>
      <c r="AJR183" s="21"/>
      <c r="AJS183" s="21"/>
      <c r="AJT183" s="21"/>
      <c r="AJU183" s="21"/>
      <c r="AJV183" s="21"/>
      <c r="AJW183" s="21"/>
      <c r="AJX183" s="21"/>
      <c r="AJY183" s="21"/>
      <c r="AJZ183" s="21"/>
      <c r="AKA183" s="21"/>
      <c r="AKB183" s="21"/>
      <c r="AKC183" s="21"/>
      <c r="AKD183" s="21"/>
      <c r="AKE183" s="21"/>
      <c r="AKF183" s="21"/>
      <c r="AKG183" s="21"/>
      <c r="AKH183" s="21"/>
      <c r="AKI183" s="21"/>
      <c r="AKJ183" s="21"/>
      <c r="AKK183" s="21"/>
      <c r="AKL183" s="21"/>
      <c r="AKM183" s="21"/>
      <c r="AKN183" s="21"/>
      <c r="AKO183" s="21"/>
      <c r="AKP183" s="21"/>
      <c r="AKQ183" s="21"/>
      <c r="AKR183" s="21"/>
      <c r="AKS183" s="21"/>
      <c r="AKT183" s="21"/>
      <c r="AKU183" s="21"/>
      <c r="AKV183" s="21"/>
      <c r="AKW183" s="21"/>
      <c r="AKX183" s="21"/>
      <c r="AKY183" s="21"/>
      <c r="AKZ183" s="21"/>
      <c r="ALA183" s="21"/>
      <c r="ALB183" s="21"/>
      <c r="ALC183" s="21"/>
      <c r="ALD183" s="21"/>
      <c r="ALE183" s="21"/>
      <c r="ALF183" s="21"/>
      <c r="ALG183" s="21"/>
      <c r="ALH183" s="21"/>
      <c r="ALI183" s="21"/>
      <c r="ALJ183" s="21"/>
      <c r="ALK183" s="21"/>
      <c r="ALL183" s="21"/>
      <c r="ALM183" s="21"/>
      <c r="ALN183" s="21"/>
      <c r="ALO183" s="21"/>
      <c r="ALP183" s="21"/>
      <c r="ALQ183" s="21"/>
      <c r="ALR183" s="21"/>
      <c r="ALS183" s="21"/>
      <c r="ALT183" s="21"/>
      <c r="ALU183" s="21"/>
      <c r="ALV183" s="21"/>
      <c r="ALW183" s="21"/>
      <c r="ALX183" s="21"/>
      <c r="ALY183" s="21"/>
      <c r="ALZ183" s="21"/>
      <c r="AMA183" s="21"/>
      <c r="AMB183" s="21"/>
      <c r="AMC183" s="21"/>
      <c r="AMD183" s="21"/>
      <c r="AME183" s="21"/>
      <c r="AMF183" s="21"/>
      <c r="AMG183" s="21"/>
      <c r="AMH183" s="21"/>
      <c r="AMI183" s="21"/>
      <c r="AMJ183" s="21"/>
      <c r="AMK183" s="21"/>
      <c r="AML183" s="21"/>
      <c r="AMM183" s="21"/>
      <c r="AMN183" s="21"/>
      <c r="AMO183" s="21"/>
      <c r="AMP183" s="21"/>
      <c r="AMQ183" s="21"/>
      <c r="AMR183" s="21"/>
      <c r="AMS183" s="21"/>
      <c r="AMT183" s="21"/>
      <c r="AMU183" s="21"/>
      <c r="AMV183" s="21"/>
      <c r="AMW183" s="21"/>
      <c r="AMX183" s="21"/>
      <c r="AMY183" s="21"/>
      <c r="AMZ183" s="21"/>
      <c r="ANA183" s="21"/>
      <c r="ANB183" s="21"/>
      <c r="ANC183" s="21"/>
      <c r="AND183" s="21"/>
      <c r="ANE183" s="21"/>
      <c r="ANF183" s="21"/>
      <c r="ANG183" s="21"/>
      <c r="ANH183" s="21"/>
      <c r="ANI183" s="21"/>
      <c r="ANJ183" s="21"/>
      <c r="ANK183" s="21"/>
      <c r="ANL183" s="21"/>
      <c r="ANM183" s="21"/>
      <c r="ANN183" s="21"/>
      <c r="ANO183" s="21"/>
      <c r="ANP183" s="21"/>
      <c r="ANQ183" s="21"/>
      <c r="ANR183" s="21"/>
      <c r="ANS183" s="21"/>
      <c r="ANT183" s="21"/>
      <c r="ANU183" s="21"/>
      <c r="ANV183" s="21"/>
      <c r="ANW183" s="21"/>
      <c r="ANX183" s="21"/>
      <c r="ANY183" s="21"/>
      <c r="ANZ183" s="21"/>
      <c r="AOA183" s="21"/>
      <c r="AOB183" s="21"/>
      <c r="AOC183" s="21"/>
      <c r="AOD183" s="21"/>
      <c r="AOE183" s="21"/>
      <c r="AOF183" s="21"/>
      <c r="AOG183" s="21"/>
      <c r="AOH183" s="21"/>
      <c r="AOI183" s="21"/>
      <c r="AOJ183" s="21"/>
      <c r="AOK183" s="21"/>
      <c r="AOL183" s="21"/>
      <c r="AOM183" s="21"/>
      <c r="AON183" s="21"/>
      <c r="AOO183" s="21"/>
      <c r="AOP183" s="21"/>
      <c r="AOQ183" s="21"/>
      <c r="AOR183" s="21"/>
      <c r="AOS183" s="21"/>
      <c r="AOT183" s="21"/>
      <c r="AOU183" s="21"/>
      <c r="AOV183" s="21"/>
      <c r="AOW183" s="21"/>
      <c r="AOX183" s="21"/>
      <c r="AOY183" s="21"/>
      <c r="AOZ183" s="21"/>
      <c r="APA183" s="21"/>
      <c r="APB183" s="21"/>
      <c r="APC183" s="21"/>
      <c r="APD183" s="21"/>
      <c r="APE183" s="21"/>
      <c r="APF183" s="21"/>
      <c r="APG183" s="21"/>
      <c r="APH183" s="21"/>
      <c r="API183" s="21"/>
      <c r="APJ183" s="21"/>
      <c r="APK183" s="21"/>
      <c r="APL183" s="21"/>
      <c r="APM183" s="21"/>
      <c r="APN183" s="21"/>
      <c r="APO183" s="21"/>
      <c r="APP183" s="21"/>
      <c r="APQ183" s="21"/>
      <c r="APR183" s="21"/>
      <c r="APS183" s="21"/>
      <c r="APT183" s="21"/>
      <c r="APU183" s="21"/>
      <c r="APV183" s="21"/>
      <c r="APW183" s="21"/>
      <c r="APX183" s="21"/>
      <c r="APY183" s="21"/>
      <c r="APZ183" s="21"/>
      <c r="AQA183" s="21"/>
      <c r="AQB183" s="21"/>
      <c r="AQC183" s="21"/>
      <c r="AQD183" s="21"/>
      <c r="AQE183" s="21"/>
      <c r="AQF183" s="21"/>
      <c r="AQG183" s="21"/>
      <c r="AQH183" s="21"/>
      <c r="AQI183" s="21"/>
      <c r="AQJ183" s="21"/>
      <c r="AQK183" s="21"/>
      <c r="AQL183" s="21"/>
      <c r="AQM183" s="21"/>
      <c r="AQN183" s="21"/>
      <c r="AQO183" s="21"/>
      <c r="AQP183" s="21"/>
      <c r="AQQ183" s="21"/>
      <c r="AQR183" s="21"/>
      <c r="AQS183" s="21"/>
      <c r="AQT183" s="21"/>
      <c r="AQU183" s="21"/>
      <c r="AQV183" s="21"/>
      <c r="AQW183" s="21"/>
      <c r="AQX183" s="21"/>
      <c r="AQY183" s="21"/>
      <c r="AQZ183" s="21"/>
      <c r="ARA183" s="21"/>
      <c r="ARB183" s="21"/>
      <c r="ARC183" s="21"/>
      <c r="ARD183" s="21"/>
      <c r="ARE183" s="21"/>
      <c r="ARF183" s="21"/>
      <c r="ARG183" s="21"/>
      <c r="ARH183" s="21"/>
      <c r="ARI183" s="21"/>
      <c r="ARJ183" s="21"/>
      <c r="ARK183" s="21"/>
      <c r="ARL183" s="21"/>
      <c r="ARM183" s="21"/>
      <c r="ARN183" s="21"/>
      <c r="ARO183" s="21"/>
      <c r="ARP183" s="21"/>
      <c r="ARQ183" s="21"/>
      <c r="ARR183" s="21"/>
      <c r="ARS183" s="21"/>
      <c r="ART183" s="21"/>
      <c r="ARU183" s="21"/>
      <c r="ARV183" s="21"/>
      <c r="ARW183" s="21"/>
      <c r="ARX183" s="21"/>
      <c r="ARY183" s="21"/>
      <c r="ARZ183" s="21"/>
      <c r="ASA183" s="21"/>
      <c r="ASB183" s="21"/>
      <c r="ASC183" s="21"/>
      <c r="ASD183" s="21"/>
      <c r="ASE183" s="21"/>
      <c r="ASF183" s="21"/>
      <c r="ASG183" s="21"/>
      <c r="ASH183" s="21"/>
      <c r="ASI183" s="21"/>
      <c r="ASJ183" s="21"/>
      <c r="ASK183" s="21"/>
      <c r="ASL183" s="21"/>
      <c r="ASM183" s="21"/>
      <c r="ASN183" s="21"/>
      <c r="ASO183" s="21"/>
      <c r="ASP183" s="21"/>
      <c r="ASQ183" s="21"/>
      <c r="ASR183" s="21"/>
      <c r="ASS183" s="21"/>
      <c r="AST183" s="21"/>
      <c r="ASU183" s="21"/>
      <c r="ASV183" s="21"/>
      <c r="ASW183" s="21"/>
      <c r="ASX183" s="21"/>
      <c r="ASY183" s="21"/>
      <c r="ASZ183" s="21"/>
      <c r="ATA183" s="21"/>
      <c r="ATB183" s="21"/>
      <c r="ATC183" s="21"/>
      <c r="ATD183" s="21"/>
      <c r="ATE183" s="21"/>
      <c r="ATF183" s="21"/>
      <c r="ATG183" s="21"/>
      <c r="ATH183" s="21"/>
      <c r="ATI183" s="21"/>
      <c r="ATJ183" s="21"/>
      <c r="ATK183" s="21"/>
      <c r="ATL183" s="21"/>
      <c r="ATM183" s="21"/>
      <c r="ATN183" s="21"/>
      <c r="ATO183" s="21"/>
      <c r="ATP183" s="21"/>
      <c r="ATQ183" s="21"/>
      <c r="ATR183" s="21"/>
      <c r="ATS183" s="21"/>
      <c r="ATT183" s="21"/>
      <c r="ATU183" s="21"/>
      <c r="ATV183" s="21"/>
      <c r="ATW183" s="21"/>
      <c r="ATX183" s="21"/>
      <c r="ATY183" s="21"/>
      <c r="ATZ183" s="21"/>
      <c r="AUA183" s="21"/>
      <c r="AUB183" s="21"/>
      <c r="AUC183" s="21"/>
      <c r="AUD183" s="21"/>
      <c r="AUE183" s="21"/>
      <c r="AUF183" s="21"/>
      <c r="AUG183" s="21"/>
      <c r="AUH183" s="21"/>
      <c r="AUI183" s="21"/>
      <c r="AUJ183" s="21"/>
      <c r="AUK183" s="21"/>
      <c r="AUL183" s="21"/>
      <c r="AUM183" s="21"/>
      <c r="AUN183" s="21"/>
      <c r="AUO183" s="21"/>
      <c r="AUP183" s="21"/>
      <c r="AUQ183" s="21"/>
      <c r="AUR183" s="21"/>
      <c r="AUS183" s="21"/>
      <c r="AUT183" s="21"/>
      <c r="AUU183" s="21"/>
      <c r="AUV183" s="21"/>
      <c r="AUW183" s="21"/>
      <c r="AUX183" s="21"/>
      <c r="AUY183" s="21"/>
      <c r="AUZ183" s="21"/>
      <c r="AVA183" s="21"/>
      <c r="AVB183" s="21"/>
      <c r="AVC183" s="21"/>
      <c r="AVD183" s="21"/>
      <c r="AVE183" s="21"/>
      <c r="AVF183" s="21"/>
      <c r="AVG183" s="21"/>
      <c r="AVH183" s="21"/>
      <c r="AVI183" s="21"/>
      <c r="AVJ183" s="21"/>
      <c r="AVK183" s="21"/>
      <c r="AVL183" s="21"/>
      <c r="AVM183" s="21"/>
      <c r="AVN183" s="21"/>
      <c r="AVO183" s="21"/>
      <c r="AVP183" s="21"/>
      <c r="AVQ183" s="21"/>
      <c r="AVR183" s="21"/>
      <c r="AVS183" s="21"/>
      <c r="AVT183" s="21"/>
      <c r="AVU183" s="21"/>
      <c r="AVV183" s="21"/>
      <c r="AVW183" s="21"/>
      <c r="AVX183" s="21"/>
      <c r="AVY183" s="21"/>
      <c r="AVZ183" s="21"/>
      <c r="AWA183" s="21"/>
      <c r="AWB183" s="21"/>
      <c r="AWC183" s="21"/>
      <c r="AWD183" s="21"/>
      <c r="AWE183" s="21"/>
      <c r="AWF183" s="21"/>
      <c r="AWG183" s="21"/>
      <c r="AWH183" s="21"/>
      <c r="AWI183" s="21"/>
      <c r="AWJ183" s="21"/>
      <c r="AWK183" s="21"/>
      <c r="AWL183" s="21"/>
      <c r="AWM183" s="21"/>
      <c r="AWN183" s="21"/>
      <c r="AWO183" s="21"/>
      <c r="AWP183" s="21"/>
      <c r="AWQ183" s="21"/>
      <c r="AWR183" s="21"/>
      <c r="AWS183" s="21"/>
      <c r="AWT183" s="21"/>
      <c r="AWU183" s="21"/>
      <c r="AWV183" s="21"/>
      <c r="AWW183" s="21"/>
      <c r="AWX183" s="21"/>
      <c r="AWY183" s="21"/>
      <c r="AWZ183" s="21"/>
      <c r="AXA183" s="21"/>
      <c r="AXB183" s="21"/>
      <c r="AXC183" s="21"/>
      <c r="AXD183" s="21"/>
      <c r="AXE183" s="21"/>
      <c r="AXF183" s="21"/>
      <c r="AXG183" s="21"/>
      <c r="AXH183" s="21"/>
      <c r="AXI183" s="21"/>
      <c r="AXJ183" s="21"/>
      <c r="AXK183" s="21"/>
      <c r="AXL183" s="21"/>
      <c r="AXM183" s="21"/>
      <c r="AXN183" s="21"/>
      <c r="AXO183" s="21"/>
      <c r="AXP183" s="21"/>
      <c r="AXQ183" s="21"/>
      <c r="AXR183" s="21"/>
      <c r="AXS183" s="21"/>
      <c r="AXT183" s="21"/>
      <c r="AXU183" s="21"/>
      <c r="AXV183" s="21"/>
      <c r="AXW183" s="21"/>
      <c r="AXX183" s="21"/>
      <c r="AXY183" s="21"/>
      <c r="AXZ183" s="21"/>
      <c r="AYA183" s="21"/>
      <c r="AYB183" s="21"/>
      <c r="AYC183" s="21"/>
      <c r="AYD183" s="21"/>
      <c r="AYE183" s="21"/>
      <c r="AYF183" s="21"/>
      <c r="AYG183" s="21"/>
      <c r="AYH183" s="21"/>
      <c r="AYI183" s="21"/>
      <c r="AYJ183" s="21"/>
      <c r="AYK183" s="21"/>
      <c r="AYL183" s="21"/>
      <c r="AYM183" s="21"/>
      <c r="AYN183" s="21"/>
      <c r="AYO183" s="21"/>
      <c r="AYP183" s="21"/>
      <c r="AYQ183" s="21"/>
      <c r="AYR183" s="21"/>
      <c r="AYS183" s="21"/>
      <c r="AYT183" s="21"/>
      <c r="AYU183" s="21"/>
      <c r="AYV183" s="21"/>
      <c r="AYW183" s="21"/>
      <c r="AYX183" s="21"/>
      <c r="AYY183" s="21"/>
      <c r="AYZ183" s="21"/>
      <c r="AZA183" s="21"/>
      <c r="AZB183" s="21"/>
      <c r="AZC183" s="21"/>
      <c r="AZD183" s="21"/>
      <c r="AZE183" s="21"/>
      <c r="AZF183" s="21"/>
      <c r="AZG183" s="21"/>
      <c r="AZH183" s="21"/>
      <c r="AZI183" s="21"/>
      <c r="AZJ183" s="21"/>
      <c r="AZK183" s="21"/>
      <c r="AZL183" s="21"/>
      <c r="AZM183" s="21"/>
      <c r="AZN183" s="21"/>
      <c r="AZO183" s="21"/>
      <c r="AZP183" s="21"/>
      <c r="AZQ183" s="21"/>
      <c r="AZR183" s="21"/>
      <c r="AZS183" s="21"/>
      <c r="AZT183" s="21"/>
      <c r="AZU183" s="21"/>
      <c r="AZV183" s="21"/>
      <c r="AZW183" s="21"/>
      <c r="AZX183" s="21"/>
      <c r="AZY183" s="21"/>
      <c r="AZZ183" s="21"/>
      <c r="BAA183" s="21"/>
      <c r="BAB183" s="21"/>
      <c r="BAC183" s="21"/>
      <c r="BAD183" s="21"/>
      <c r="BAE183" s="21"/>
      <c r="BAF183" s="21"/>
      <c r="BAG183" s="21"/>
      <c r="BAH183" s="21"/>
      <c r="BAI183" s="21"/>
      <c r="BAJ183" s="21"/>
      <c r="BAK183" s="21"/>
      <c r="BAL183" s="21"/>
      <c r="BAM183" s="21"/>
      <c r="BAN183" s="21"/>
      <c r="BAO183" s="21"/>
      <c r="BAP183" s="21"/>
      <c r="BAQ183" s="21"/>
      <c r="BAR183" s="21"/>
      <c r="BAS183" s="21"/>
      <c r="BAT183" s="21"/>
      <c r="BAU183" s="21"/>
      <c r="BAV183" s="21"/>
      <c r="BAW183" s="21"/>
      <c r="BAX183" s="21"/>
      <c r="BAY183" s="21"/>
      <c r="BAZ183" s="21"/>
      <c r="BBA183" s="21"/>
      <c r="BBB183" s="21"/>
      <c r="BBC183" s="21"/>
      <c r="BBD183" s="21"/>
      <c r="BBE183" s="21"/>
      <c r="BBF183" s="21"/>
      <c r="BBG183" s="21"/>
      <c r="BBH183" s="21"/>
      <c r="BBI183" s="21"/>
      <c r="BBJ183" s="21"/>
      <c r="BBK183" s="21"/>
      <c r="BBL183" s="21"/>
      <c r="BBM183" s="21"/>
      <c r="BBN183" s="21"/>
      <c r="BBO183" s="21"/>
      <c r="BBP183" s="21"/>
      <c r="BBQ183" s="21"/>
      <c r="BBR183" s="21"/>
      <c r="BBS183" s="21"/>
      <c r="BBT183" s="21"/>
      <c r="BBU183" s="21"/>
      <c r="BBV183" s="21"/>
      <c r="BBW183" s="21"/>
      <c r="BBX183" s="21"/>
      <c r="BBY183" s="21"/>
      <c r="BBZ183" s="21"/>
      <c r="BCA183" s="21"/>
      <c r="BCB183" s="21"/>
      <c r="BCC183" s="21"/>
      <c r="BCD183" s="21"/>
      <c r="BCE183" s="21"/>
      <c r="BCF183" s="21"/>
      <c r="BCG183" s="21"/>
      <c r="BCH183" s="21"/>
      <c r="BCI183" s="21"/>
      <c r="BCJ183" s="21"/>
      <c r="BCK183" s="21"/>
      <c r="BCL183" s="21"/>
      <c r="BCM183" s="21"/>
      <c r="BCN183" s="21"/>
      <c r="BCO183" s="21"/>
      <c r="BCP183" s="21"/>
      <c r="BCQ183" s="21"/>
      <c r="BCR183" s="21"/>
      <c r="BCS183" s="21"/>
      <c r="BCT183" s="21"/>
      <c r="BCU183" s="21"/>
      <c r="BCV183" s="21"/>
      <c r="BCW183" s="21"/>
      <c r="BCX183" s="21"/>
      <c r="BCY183" s="21"/>
      <c r="BCZ183" s="21"/>
      <c r="BDA183" s="21"/>
      <c r="BDB183" s="21"/>
      <c r="BDC183" s="21"/>
      <c r="BDD183" s="21"/>
      <c r="BDE183" s="21"/>
      <c r="BDF183" s="21"/>
      <c r="BDG183" s="21"/>
      <c r="BDH183" s="21"/>
      <c r="BDI183" s="21"/>
      <c r="BDJ183" s="21"/>
      <c r="BDK183" s="21"/>
      <c r="BDL183" s="21"/>
      <c r="BDM183" s="21"/>
      <c r="BDN183" s="21"/>
      <c r="BDO183" s="21"/>
      <c r="BDP183" s="21"/>
      <c r="BDQ183" s="21"/>
      <c r="BDR183" s="21"/>
      <c r="BDS183" s="21"/>
      <c r="BDT183" s="21"/>
      <c r="BDU183" s="21"/>
      <c r="BDV183" s="21"/>
      <c r="BDW183" s="21"/>
      <c r="BDX183" s="21"/>
      <c r="BDY183" s="21"/>
      <c r="BDZ183" s="21"/>
      <c r="BEA183" s="21"/>
      <c r="BEB183" s="21"/>
      <c r="BEC183" s="21"/>
      <c r="BED183" s="21"/>
      <c r="BEE183" s="21"/>
      <c r="BEF183" s="21"/>
      <c r="BEG183" s="21"/>
      <c r="BEH183" s="21"/>
      <c r="BEI183" s="21"/>
      <c r="BEJ183" s="21"/>
      <c r="BEK183" s="21"/>
      <c r="BEL183" s="21"/>
      <c r="BEM183" s="21"/>
      <c r="BEN183" s="21"/>
      <c r="BEO183" s="21"/>
      <c r="BEP183" s="21"/>
      <c r="BEQ183" s="21"/>
      <c r="BER183" s="21"/>
      <c r="BES183" s="21"/>
      <c r="BET183" s="21"/>
      <c r="BEU183" s="21"/>
      <c r="BEV183" s="21"/>
      <c r="BEW183" s="21"/>
      <c r="BEX183" s="21"/>
      <c r="BEY183" s="21"/>
      <c r="BEZ183" s="21"/>
      <c r="BFA183" s="21"/>
      <c r="BFB183" s="21"/>
      <c r="BFC183" s="21"/>
      <c r="BFD183" s="21"/>
      <c r="BFE183" s="21"/>
      <c r="BFF183" s="21"/>
      <c r="BFG183" s="21"/>
      <c r="BFH183" s="21"/>
      <c r="BFI183" s="21"/>
      <c r="BFJ183" s="21"/>
      <c r="BFK183" s="21"/>
      <c r="BFL183" s="21"/>
      <c r="BFM183" s="21"/>
      <c r="BFN183" s="21"/>
      <c r="BFO183" s="21"/>
      <c r="BFP183" s="21"/>
      <c r="BFQ183" s="21"/>
      <c r="BFR183" s="21"/>
      <c r="BFS183" s="21"/>
      <c r="BFT183" s="21"/>
      <c r="BFU183" s="21"/>
      <c r="BFV183" s="21"/>
      <c r="BFW183" s="21"/>
      <c r="BFX183" s="21"/>
      <c r="BFY183" s="21"/>
      <c r="BFZ183" s="21"/>
      <c r="BGA183" s="21"/>
      <c r="BGB183" s="21"/>
      <c r="BGC183" s="21"/>
      <c r="BGD183" s="21"/>
      <c r="BGE183" s="21"/>
      <c r="BGF183" s="21"/>
      <c r="BGG183" s="21"/>
      <c r="BGH183" s="21"/>
      <c r="BGI183" s="21"/>
      <c r="BGJ183" s="21"/>
      <c r="BGK183" s="21"/>
      <c r="BGL183" s="21"/>
      <c r="BGM183" s="21"/>
      <c r="BGN183" s="21"/>
      <c r="BGO183" s="21"/>
      <c r="BGP183" s="21"/>
      <c r="BGQ183" s="21"/>
      <c r="BGR183" s="21"/>
      <c r="BGS183" s="21"/>
      <c r="BGT183" s="21"/>
      <c r="BGU183" s="21"/>
      <c r="BGV183" s="21"/>
      <c r="BGW183" s="21"/>
      <c r="BGX183" s="21"/>
      <c r="BGY183" s="21"/>
      <c r="BGZ183" s="21"/>
      <c r="BHA183" s="21"/>
      <c r="BHB183" s="21"/>
      <c r="BHC183" s="21"/>
      <c r="BHD183" s="21"/>
      <c r="BHE183" s="21"/>
      <c r="BHF183" s="21"/>
      <c r="BHG183" s="21"/>
      <c r="BHH183" s="21"/>
      <c r="BHI183" s="21"/>
      <c r="BHJ183" s="21"/>
      <c r="BHK183" s="21"/>
      <c r="BHL183" s="21"/>
      <c r="BHM183" s="21"/>
      <c r="BHN183" s="21"/>
      <c r="BHO183" s="21"/>
      <c r="BHP183" s="21"/>
      <c r="BHQ183" s="21"/>
      <c r="BHR183" s="21"/>
      <c r="BHS183" s="21"/>
      <c r="BHT183" s="21"/>
      <c r="BHU183" s="21"/>
      <c r="BHV183" s="21"/>
      <c r="BHW183" s="21"/>
      <c r="BHX183" s="21"/>
      <c r="BHY183" s="21"/>
      <c r="BHZ183" s="21"/>
      <c r="BIA183" s="21"/>
      <c r="BIB183" s="21"/>
      <c r="BIC183" s="21"/>
      <c r="BID183" s="21"/>
      <c r="BIE183" s="21"/>
      <c r="BIF183" s="21"/>
      <c r="BIG183" s="21"/>
      <c r="BIH183" s="21"/>
      <c r="BII183" s="21"/>
      <c r="BIJ183" s="21"/>
      <c r="BIK183" s="21"/>
      <c r="BIL183" s="21"/>
      <c r="BIM183" s="21"/>
      <c r="BIN183" s="21"/>
      <c r="BIO183" s="21"/>
      <c r="BIP183" s="21"/>
      <c r="BIQ183" s="21"/>
      <c r="BIR183" s="21"/>
      <c r="BIS183" s="21"/>
      <c r="BIT183" s="21"/>
      <c r="BIU183" s="21"/>
      <c r="BIV183" s="21"/>
      <c r="BIW183" s="21"/>
      <c r="BIX183" s="21"/>
      <c r="BIY183" s="21"/>
      <c r="BIZ183" s="21"/>
      <c r="BJA183" s="21"/>
      <c r="BJB183" s="21"/>
      <c r="BJC183" s="21"/>
      <c r="BJD183" s="21"/>
      <c r="BJE183" s="21"/>
      <c r="BJF183" s="21"/>
      <c r="BJG183" s="21"/>
      <c r="BJH183" s="21"/>
      <c r="BJI183" s="21"/>
      <c r="BJJ183" s="21"/>
      <c r="BJK183" s="21"/>
      <c r="BJL183" s="21"/>
      <c r="BJM183" s="21"/>
      <c r="BJN183" s="21"/>
      <c r="BJO183" s="21"/>
      <c r="BJP183" s="21"/>
      <c r="BJQ183" s="21"/>
      <c r="BJR183" s="21"/>
      <c r="BJS183" s="21"/>
      <c r="BJT183" s="21"/>
      <c r="BJU183" s="21"/>
      <c r="BJV183" s="21"/>
      <c r="BJW183" s="21"/>
      <c r="BJX183" s="21"/>
      <c r="BJY183" s="21"/>
      <c r="BJZ183" s="21"/>
      <c r="BKA183" s="21"/>
      <c r="BKB183" s="21"/>
      <c r="BKC183" s="21"/>
      <c r="BKD183" s="21"/>
      <c r="BKE183" s="21"/>
      <c r="BKF183" s="21"/>
      <c r="BKG183" s="21"/>
      <c r="BKH183" s="21"/>
      <c r="BKI183" s="21"/>
      <c r="BKJ183" s="21"/>
      <c r="BKK183" s="21"/>
      <c r="BKL183" s="21"/>
      <c r="BKM183" s="21"/>
      <c r="BKN183" s="21"/>
      <c r="BKO183" s="21"/>
      <c r="BKP183" s="21"/>
      <c r="BKQ183" s="21"/>
      <c r="BKR183" s="21"/>
      <c r="BKS183" s="21"/>
      <c r="BKT183" s="21"/>
      <c r="BKU183" s="21"/>
      <c r="BKV183" s="21"/>
      <c r="BKW183" s="21"/>
      <c r="BKX183" s="21"/>
      <c r="BKY183" s="21"/>
      <c r="BKZ183" s="21"/>
      <c r="BLA183" s="21"/>
      <c r="BLB183" s="21"/>
      <c r="BLC183" s="21"/>
      <c r="BLD183" s="21"/>
      <c r="BLE183" s="21"/>
      <c r="BLF183" s="21"/>
      <c r="BLG183" s="21"/>
      <c r="BLH183" s="21"/>
      <c r="BLI183" s="21"/>
      <c r="BLJ183" s="21"/>
      <c r="BLK183" s="21"/>
      <c r="BLL183" s="21"/>
      <c r="BLM183" s="21"/>
      <c r="BLN183" s="21"/>
      <c r="BLO183" s="21"/>
      <c r="BLP183" s="21"/>
      <c r="BLQ183" s="21"/>
      <c r="BLR183" s="21"/>
      <c r="BLS183" s="21"/>
      <c r="BLT183" s="21"/>
      <c r="BLU183" s="21"/>
      <c r="BLV183" s="21"/>
      <c r="BLW183" s="21"/>
      <c r="BLX183" s="21"/>
      <c r="BLY183" s="21"/>
      <c r="BLZ183" s="21"/>
      <c r="BMA183" s="21"/>
      <c r="BMB183" s="21"/>
      <c r="BMC183" s="21"/>
      <c r="BMD183" s="21"/>
      <c r="BME183" s="21"/>
      <c r="BMF183" s="21"/>
      <c r="BMG183" s="21"/>
      <c r="BMH183" s="21"/>
      <c r="BMI183" s="21"/>
      <c r="BMJ183" s="21"/>
      <c r="BMK183" s="21"/>
      <c r="BML183" s="21"/>
      <c r="BMM183" s="21"/>
      <c r="BMN183" s="21"/>
      <c r="BMO183" s="21"/>
      <c r="BMP183" s="21"/>
      <c r="BMQ183" s="21"/>
      <c r="BMR183" s="21"/>
      <c r="BMS183" s="21"/>
      <c r="BMT183" s="21"/>
      <c r="BMU183" s="21"/>
      <c r="BMV183" s="21"/>
      <c r="BMW183" s="21"/>
      <c r="BMX183" s="21"/>
      <c r="BMY183" s="21"/>
      <c r="BMZ183" s="21"/>
      <c r="BNA183" s="21"/>
      <c r="BNB183" s="21"/>
      <c r="BNC183" s="21"/>
      <c r="BND183" s="21"/>
      <c r="BNE183" s="21"/>
      <c r="BNF183" s="21"/>
      <c r="BNG183" s="21"/>
      <c r="BNH183" s="21"/>
      <c r="BNI183" s="21"/>
      <c r="BNJ183" s="21"/>
      <c r="BNK183" s="21"/>
      <c r="BNL183" s="21"/>
      <c r="BNM183" s="21"/>
      <c r="BNN183" s="21"/>
      <c r="BNO183" s="21"/>
      <c r="BNP183" s="21"/>
      <c r="BNQ183" s="21"/>
      <c r="BNR183" s="21"/>
      <c r="BNS183" s="21"/>
      <c r="BNT183" s="21"/>
      <c r="BNU183" s="21"/>
      <c r="BNV183" s="21"/>
      <c r="BNW183" s="21"/>
      <c r="BNX183" s="21"/>
      <c r="BNY183" s="21"/>
      <c r="BNZ183" s="21"/>
      <c r="BOA183" s="21"/>
      <c r="BOB183" s="21"/>
      <c r="BOC183" s="21"/>
      <c r="BOD183" s="21"/>
      <c r="BOE183" s="21"/>
      <c r="BOF183" s="21"/>
      <c r="BOG183" s="21"/>
      <c r="BOH183" s="21"/>
      <c r="BOI183" s="21"/>
      <c r="BOJ183" s="21"/>
      <c r="BOK183" s="21"/>
      <c r="BOL183" s="21"/>
      <c r="BOM183" s="21"/>
      <c r="BON183" s="21"/>
      <c r="BOO183" s="21"/>
      <c r="BOP183" s="21"/>
      <c r="BOQ183" s="21"/>
      <c r="BOR183" s="21"/>
      <c r="BOS183" s="21"/>
      <c r="BOT183" s="21"/>
      <c r="BOU183" s="21"/>
      <c r="BOV183" s="21"/>
      <c r="BOW183" s="21"/>
      <c r="BOX183" s="21"/>
      <c r="BOY183" s="21"/>
      <c r="BOZ183" s="21"/>
      <c r="BPA183" s="21"/>
      <c r="BPB183" s="21"/>
      <c r="BPC183" s="21"/>
      <c r="BPD183" s="21"/>
      <c r="BPE183" s="21"/>
      <c r="BPF183" s="21"/>
      <c r="BPG183" s="21"/>
      <c r="BPH183" s="21"/>
      <c r="BPI183" s="21"/>
      <c r="BPJ183" s="21"/>
      <c r="BPK183" s="21"/>
      <c r="BPL183" s="21"/>
      <c r="BPM183" s="21"/>
      <c r="BPN183" s="21"/>
      <c r="BPO183" s="21"/>
      <c r="BPP183" s="21"/>
      <c r="BPQ183" s="21"/>
      <c r="BPR183" s="21"/>
      <c r="BPS183" s="21"/>
      <c r="BPT183" s="21"/>
      <c r="BPU183" s="21"/>
      <c r="BPV183" s="21"/>
      <c r="BPW183" s="21"/>
      <c r="BPX183" s="21"/>
      <c r="BPY183" s="21"/>
      <c r="BPZ183" s="21"/>
      <c r="BQA183" s="21"/>
      <c r="BQB183" s="21"/>
      <c r="BQC183" s="21"/>
      <c r="BQD183" s="21"/>
      <c r="BQE183" s="21"/>
      <c r="BQF183" s="21"/>
      <c r="BQG183" s="21"/>
      <c r="BQH183" s="21"/>
      <c r="BQI183" s="21"/>
      <c r="BQJ183" s="21"/>
      <c r="BQK183" s="21"/>
      <c r="BQL183" s="21"/>
      <c r="BQM183" s="21"/>
      <c r="BQN183" s="21"/>
      <c r="BQO183" s="21"/>
      <c r="BQP183" s="21"/>
      <c r="BQQ183" s="21"/>
      <c r="BQR183" s="21"/>
      <c r="BQS183" s="21"/>
      <c r="BQT183" s="21"/>
      <c r="BQU183" s="21"/>
      <c r="BQV183" s="21"/>
      <c r="BQW183" s="21"/>
      <c r="BQX183" s="21"/>
      <c r="BQY183" s="21"/>
      <c r="BQZ183" s="21"/>
      <c r="BRA183" s="21"/>
      <c r="BRB183" s="21"/>
      <c r="BRC183" s="21"/>
      <c r="BRD183" s="21"/>
      <c r="BRE183" s="21"/>
      <c r="BRF183" s="21"/>
      <c r="BRG183" s="21"/>
      <c r="BRH183" s="21"/>
      <c r="BRI183" s="21"/>
      <c r="BRJ183" s="21"/>
      <c r="BRK183" s="21"/>
      <c r="BRL183" s="21"/>
      <c r="BRM183" s="21"/>
      <c r="BRN183" s="21"/>
      <c r="BRO183" s="21"/>
      <c r="BRP183" s="21"/>
      <c r="BRQ183" s="21"/>
      <c r="BRR183" s="21"/>
      <c r="BRS183" s="21"/>
      <c r="BRT183" s="21"/>
      <c r="BRU183" s="21"/>
      <c r="BRV183" s="21"/>
      <c r="BRW183" s="21"/>
      <c r="BRX183" s="21"/>
      <c r="BRY183" s="21"/>
      <c r="BRZ183" s="21"/>
      <c r="BSA183" s="21"/>
      <c r="BSB183" s="21"/>
      <c r="BSC183" s="21"/>
      <c r="BSD183" s="21"/>
      <c r="BSE183" s="21"/>
      <c r="BSF183" s="21"/>
      <c r="BSG183" s="21"/>
      <c r="BSH183" s="21"/>
      <c r="BSI183" s="21"/>
      <c r="BSJ183" s="21"/>
      <c r="BSK183" s="21"/>
      <c r="BSL183" s="21"/>
      <c r="BSM183" s="21"/>
      <c r="BSN183" s="21"/>
      <c r="BSO183" s="21"/>
      <c r="BSP183" s="21"/>
      <c r="BSQ183" s="21"/>
      <c r="BSR183" s="21"/>
      <c r="BSS183" s="21"/>
      <c r="BST183" s="21"/>
      <c r="BSU183" s="21"/>
      <c r="BSV183" s="21"/>
      <c r="BSW183" s="21"/>
      <c r="BSX183" s="21"/>
      <c r="BSY183" s="21"/>
      <c r="BSZ183" s="21"/>
      <c r="BTA183" s="21"/>
      <c r="BTB183" s="21"/>
      <c r="BTC183" s="21"/>
      <c r="BTD183" s="21"/>
      <c r="BTE183" s="21"/>
      <c r="BTF183" s="21"/>
      <c r="BTG183" s="21"/>
      <c r="BTH183" s="21"/>
      <c r="BTI183" s="21"/>
      <c r="BTJ183" s="21"/>
      <c r="BTK183" s="21"/>
      <c r="BTL183" s="21"/>
      <c r="BTM183" s="21"/>
      <c r="BTN183" s="21"/>
      <c r="BTO183" s="21"/>
      <c r="BTP183" s="21"/>
      <c r="BTQ183" s="21"/>
      <c r="BTR183" s="21"/>
      <c r="BTS183" s="21"/>
      <c r="BTT183" s="21"/>
      <c r="BTU183" s="21"/>
      <c r="BTV183" s="21"/>
      <c r="BTW183" s="21"/>
      <c r="BTX183" s="21"/>
      <c r="BTY183" s="21"/>
      <c r="BTZ183" s="21"/>
      <c r="BUA183" s="21"/>
      <c r="BUB183" s="21"/>
      <c r="BUC183" s="21"/>
      <c r="BUD183" s="21"/>
      <c r="BUE183" s="21"/>
      <c r="BUF183" s="21"/>
      <c r="BUG183" s="21"/>
      <c r="BUH183" s="21"/>
      <c r="BUI183" s="21"/>
      <c r="BUJ183" s="21"/>
      <c r="BUK183" s="21"/>
      <c r="BUL183" s="21"/>
      <c r="BUM183" s="21"/>
      <c r="BUN183" s="21"/>
      <c r="BUO183" s="21"/>
      <c r="BUP183" s="21"/>
      <c r="BUQ183" s="21"/>
      <c r="BUR183" s="21"/>
      <c r="BUS183" s="21"/>
      <c r="BUT183" s="21"/>
      <c r="BUU183" s="21"/>
      <c r="BUV183" s="21"/>
      <c r="BUW183" s="21"/>
      <c r="BUX183" s="21"/>
      <c r="BUY183" s="21"/>
      <c r="BUZ183" s="21"/>
      <c r="BVA183" s="21"/>
      <c r="BVB183" s="21"/>
      <c r="BVC183" s="21"/>
      <c r="BVD183" s="21"/>
      <c r="BVE183" s="21"/>
      <c r="BVF183" s="21"/>
      <c r="BVG183" s="21"/>
      <c r="BVH183" s="21"/>
      <c r="BVI183" s="21"/>
      <c r="BVJ183" s="21"/>
      <c r="BVK183" s="21"/>
      <c r="BVL183" s="21"/>
      <c r="BVM183" s="21"/>
      <c r="BVN183" s="21"/>
      <c r="BVO183" s="21"/>
      <c r="BVP183" s="21"/>
      <c r="BVQ183" s="21"/>
      <c r="BVR183" s="21"/>
      <c r="BVS183" s="21"/>
      <c r="BVT183" s="21"/>
      <c r="BVU183" s="21"/>
      <c r="BVV183" s="21"/>
      <c r="BVW183" s="21"/>
      <c r="BVX183" s="21"/>
      <c r="BVY183" s="21"/>
      <c r="BVZ183" s="21"/>
      <c r="BWA183" s="21"/>
      <c r="BWB183" s="21"/>
      <c r="BWC183" s="21"/>
      <c r="BWD183" s="21"/>
      <c r="BWE183" s="21"/>
      <c r="BWF183" s="21"/>
      <c r="BWG183" s="21"/>
      <c r="BWH183" s="21"/>
      <c r="BWI183" s="21"/>
      <c r="BWJ183" s="21"/>
      <c r="BWK183" s="21"/>
      <c r="BWL183" s="21"/>
      <c r="BWM183" s="21"/>
      <c r="BWN183" s="21"/>
      <c r="BWO183" s="21"/>
      <c r="BWP183" s="21"/>
      <c r="BWQ183" s="21"/>
      <c r="BWR183" s="21"/>
      <c r="BWS183" s="21"/>
      <c r="BWT183" s="21"/>
      <c r="BWU183" s="21"/>
      <c r="BWV183" s="21"/>
      <c r="BWW183" s="21"/>
      <c r="BWX183" s="21"/>
      <c r="BWY183" s="21"/>
      <c r="BWZ183" s="21"/>
      <c r="BXA183" s="21"/>
      <c r="BXB183" s="21"/>
      <c r="BXC183" s="21"/>
      <c r="BXD183" s="21"/>
      <c r="BXE183" s="21"/>
      <c r="BXF183" s="21"/>
      <c r="BXG183" s="21"/>
      <c r="BXH183" s="21"/>
      <c r="BXI183" s="21"/>
      <c r="BXJ183" s="21"/>
      <c r="BXK183" s="21"/>
      <c r="BXL183" s="21"/>
      <c r="BXM183" s="21"/>
      <c r="BXN183" s="21"/>
      <c r="BXO183" s="21"/>
      <c r="BXP183" s="21"/>
      <c r="BXQ183" s="21"/>
      <c r="BXR183" s="21"/>
      <c r="BXS183" s="21"/>
      <c r="BXT183" s="21"/>
      <c r="BXU183" s="21"/>
      <c r="BXV183" s="21"/>
      <c r="BXW183" s="21"/>
      <c r="BXX183" s="21"/>
      <c r="BXY183" s="21"/>
      <c r="BXZ183" s="21"/>
      <c r="BYA183" s="21"/>
      <c r="BYB183" s="21"/>
      <c r="BYC183" s="21"/>
      <c r="BYD183" s="21"/>
      <c r="BYE183" s="21"/>
      <c r="BYF183" s="21"/>
      <c r="BYG183" s="21"/>
      <c r="BYH183" s="21"/>
      <c r="BYI183" s="21"/>
      <c r="BYJ183" s="21"/>
      <c r="BYK183" s="21"/>
      <c r="BYL183" s="21"/>
      <c r="BYM183" s="21"/>
      <c r="BYN183" s="21"/>
      <c r="BYO183" s="21"/>
      <c r="BYP183" s="21"/>
      <c r="BYQ183" s="21"/>
      <c r="BYR183" s="21"/>
      <c r="BYS183" s="21"/>
      <c r="BYT183" s="21"/>
      <c r="BYU183" s="21"/>
      <c r="BYV183" s="21"/>
      <c r="BYW183" s="21"/>
      <c r="BYX183" s="21"/>
      <c r="BYY183" s="21"/>
      <c r="BYZ183" s="21"/>
      <c r="BZA183" s="21"/>
      <c r="BZB183" s="21"/>
      <c r="BZC183" s="21"/>
      <c r="BZD183" s="21"/>
      <c r="BZE183" s="21"/>
      <c r="BZF183" s="21"/>
      <c r="BZG183" s="21"/>
      <c r="BZH183" s="21"/>
      <c r="BZI183" s="21"/>
      <c r="BZJ183" s="21"/>
      <c r="BZK183" s="21"/>
      <c r="BZL183" s="21"/>
      <c r="BZM183" s="21"/>
      <c r="BZN183" s="21"/>
      <c r="BZO183" s="21"/>
      <c r="BZP183" s="21"/>
      <c r="BZQ183" s="21"/>
      <c r="BZR183" s="21"/>
      <c r="BZS183" s="21"/>
      <c r="BZT183" s="21"/>
      <c r="BZU183" s="21"/>
      <c r="BZV183" s="21"/>
      <c r="BZW183" s="21"/>
      <c r="BZX183" s="21"/>
      <c r="BZY183" s="21"/>
      <c r="BZZ183" s="21"/>
      <c r="CAA183" s="21"/>
      <c r="CAB183" s="21"/>
      <c r="CAC183" s="21"/>
      <c r="CAD183" s="21"/>
      <c r="CAE183" s="21"/>
      <c r="CAF183" s="21"/>
      <c r="CAG183" s="21"/>
      <c r="CAH183" s="21"/>
      <c r="CAI183" s="21"/>
      <c r="CAJ183" s="21"/>
      <c r="CAK183" s="21"/>
      <c r="CAL183" s="21"/>
      <c r="CAM183" s="21"/>
      <c r="CAN183" s="21"/>
      <c r="CAO183" s="21"/>
      <c r="CAP183" s="21"/>
      <c r="CAQ183" s="21"/>
      <c r="CAR183" s="21"/>
      <c r="CAS183" s="21"/>
      <c r="CAT183" s="21"/>
      <c r="CAU183" s="21"/>
      <c r="CAV183" s="21"/>
      <c r="CAW183" s="21"/>
      <c r="CAX183" s="21"/>
      <c r="CAY183" s="21"/>
      <c r="CAZ183" s="21"/>
      <c r="CBA183" s="21"/>
      <c r="CBB183" s="21"/>
      <c r="CBC183" s="21"/>
      <c r="CBD183" s="21"/>
      <c r="CBE183" s="21"/>
      <c r="CBF183" s="21"/>
      <c r="CBG183" s="21"/>
      <c r="CBH183" s="21"/>
      <c r="CBI183" s="21"/>
      <c r="CBJ183" s="21"/>
      <c r="CBK183" s="21"/>
      <c r="CBL183" s="21"/>
      <c r="CBM183" s="21"/>
      <c r="CBN183" s="21"/>
      <c r="CBO183" s="21"/>
      <c r="CBP183" s="21"/>
      <c r="CBQ183" s="21"/>
      <c r="CBR183" s="21"/>
      <c r="CBS183" s="21"/>
      <c r="CBT183" s="21"/>
      <c r="CBU183" s="21"/>
      <c r="CBV183" s="21"/>
      <c r="CBW183" s="21"/>
      <c r="CBX183" s="21"/>
      <c r="CBY183" s="21"/>
      <c r="CBZ183" s="21"/>
      <c r="CCA183" s="21"/>
      <c r="CCB183" s="21"/>
      <c r="CCC183" s="21"/>
      <c r="CCD183" s="21"/>
      <c r="CCE183" s="21"/>
      <c r="CCF183" s="21"/>
      <c r="CCG183" s="21"/>
      <c r="CCH183" s="21"/>
      <c r="CCI183" s="21"/>
      <c r="CCJ183" s="21"/>
      <c r="CCK183" s="21"/>
      <c r="CCL183" s="21"/>
      <c r="CCM183" s="21"/>
      <c r="CCN183" s="21"/>
      <c r="CCO183" s="21"/>
      <c r="CCP183" s="21"/>
      <c r="CCQ183" s="21"/>
      <c r="CCR183" s="21"/>
      <c r="CCS183" s="21"/>
      <c r="CCT183" s="21"/>
      <c r="CCU183" s="21"/>
      <c r="CCV183" s="21"/>
      <c r="CCW183" s="21"/>
      <c r="CCX183" s="21"/>
      <c r="CCY183" s="21"/>
      <c r="CCZ183" s="21"/>
      <c r="CDA183" s="21"/>
      <c r="CDB183" s="21"/>
      <c r="CDC183" s="21"/>
      <c r="CDD183" s="21"/>
      <c r="CDE183" s="21"/>
      <c r="CDF183" s="21"/>
      <c r="CDG183" s="21"/>
      <c r="CDH183" s="21"/>
      <c r="CDI183" s="21"/>
      <c r="CDJ183" s="21"/>
      <c r="CDK183" s="21"/>
      <c r="CDL183" s="21"/>
      <c r="CDM183" s="21"/>
      <c r="CDN183" s="21"/>
      <c r="CDO183" s="21"/>
      <c r="CDP183" s="21"/>
      <c r="CDQ183" s="21"/>
      <c r="CDR183" s="21"/>
      <c r="CDS183" s="21"/>
      <c r="CDT183" s="21"/>
      <c r="CDU183" s="21"/>
      <c r="CDV183" s="21"/>
      <c r="CDW183" s="21"/>
      <c r="CDX183" s="21"/>
      <c r="CDY183" s="21"/>
      <c r="CDZ183" s="21"/>
      <c r="CEA183" s="21"/>
      <c r="CEB183" s="21"/>
      <c r="CEC183" s="21"/>
      <c r="CED183" s="21"/>
      <c r="CEE183" s="21"/>
      <c r="CEF183" s="21"/>
      <c r="CEG183" s="21"/>
      <c r="CEH183" s="21"/>
      <c r="CEI183" s="21"/>
      <c r="CEJ183" s="21"/>
      <c r="CEK183" s="21"/>
      <c r="CEL183" s="21"/>
      <c r="CEM183" s="21"/>
      <c r="CEN183" s="21"/>
      <c r="CEO183" s="21"/>
      <c r="CEP183" s="21"/>
      <c r="CEQ183" s="21"/>
      <c r="CER183" s="21"/>
      <c r="CES183" s="21"/>
      <c r="CET183" s="21"/>
      <c r="CEU183" s="21"/>
      <c r="CEV183" s="21"/>
      <c r="CEW183" s="21"/>
      <c r="CEX183" s="21"/>
      <c r="CEY183" s="21"/>
      <c r="CEZ183" s="21"/>
      <c r="CFA183" s="21"/>
      <c r="CFB183" s="21"/>
      <c r="CFC183" s="21"/>
      <c r="CFD183" s="21"/>
      <c r="CFE183" s="21"/>
      <c r="CFF183" s="21"/>
      <c r="CFG183" s="21"/>
      <c r="CFH183" s="21"/>
      <c r="CFI183" s="21"/>
      <c r="CFJ183" s="21"/>
      <c r="CFK183" s="21"/>
      <c r="CFL183" s="21"/>
      <c r="CFM183" s="21"/>
      <c r="CFN183" s="21"/>
      <c r="CFO183" s="21"/>
      <c r="CFP183" s="21"/>
      <c r="CFQ183" s="21"/>
      <c r="CFR183" s="21"/>
      <c r="CFS183" s="21"/>
      <c r="CFT183" s="21"/>
      <c r="CFU183" s="21"/>
      <c r="CFV183" s="21"/>
      <c r="CFW183" s="21"/>
      <c r="CFX183" s="21"/>
      <c r="CFY183" s="21"/>
      <c r="CFZ183" s="21"/>
      <c r="CGA183" s="21"/>
      <c r="CGB183" s="21"/>
      <c r="CGC183" s="21"/>
      <c r="CGD183" s="21"/>
      <c r="CGE183" s="21"/>
      <c r="CGF183" s="21"/>
      <c r="CGG183" s="21"/>
      <c r="CGH183" s="21"/>
      <c r="CGI183" s="21"/>
      <c r="CGJ183" s="21"/>
      <c r="CGK183" s="21"/>
      <c r="CGL183" s="21"/>
      <c r="CGM183" s="21"/>
      <c r="CGN183" s="21"/>
      <c r="CGO183" s="21"/>
      <c r="CGP183" s="21"/>
      <c r="CGQ183" s="21"/>
      <c r="CGR183" s="21"/>
      <c r="CGS183" s="21"/>
      <c r="CGT183" s="21"/>
      <c r="CGU183" s="21"/>
      <c r="CGV183" s="21"/>
      <c r="CGW183" s="21"/>
      <c r="CGX183" s="21"/>
      <c r="CGY183" s="21"/>
      <c r="CGZ183" s="21"/>
      <c r="CHA183" s="21"/>
      <c r="CHB183" s="21"/>
      <c r="CHC183" s="21"/>
      <c r="CHD183" s="21"/>
      <c r="CHE183" s="21"/>
      <c r="CHF183" s="21"/>
      <c r="CHG183" s="21"/>
      <c r="CHH183" s="21"/>
      <c r="CHI183" s="21"/>
      <c r="CHJ183" s="21"/>
      <c r="CHK183" s="21"/>
      <c r="CHL183" s="21"/>
      <c r="CHM183" s="21"/>
      <c r="CHN183" s="21"/>
      <c r="CHO183" s="21"/>
      <c r="CHP183" s="21"/>
      <c r="CHQ183" s="21"/>
      <c r="CHR183" s="21"/>
      <c r="CHS183" s="21"/>
      <c r="CHT183" s="21"/>
      <c r="CHU183" s="21"/>
      <c r="CHV183" s="21"/>
      <c r="CHW183" s="21"/>
      <c r="CHX183" s="21"/>
      <c r="CHY183" s="21"/>
      <c r="CHZ183" s="21"/>
      <c r="CIA183" s="21"/>
      <c r="CIB183" s="21"/>
      <c r="CIC183" s="21"/>
      <c r="CID183" s="21"/>
      <c r="CIE183" s="21"/>
      <c r="CIF183" s="21"/>
      <c r="CIG183" s="21"/>
      <c r="CIH183" s="21"/>
      <c r="CII183" s="21"/>
      <c r="CIJ183" s="21"/>
      <c r="CIK183" s="21"/>
      <c r="CIL183" s="21"/>
      <c r="CIM183" s="21"/>
      <c r="CIN183" s="21"/>
      <c r="CIO183" s="21"/>
      <c r="CIP183" s="21"/>
      <c r="CIQ183" s="21"/>
      <c r="CIR183" s="21"/>
      <c r="CIS183" s="21"/>
      <c r="CIT183" s="21"/>
      <c r="CIU183" s="21"/>
      <c r="CIV183" s="21"/>
      <c r="CIW183" s="21"/>
      <c r="CIX183" s="21"/>
      <c r="CIY183" s="21"/>
      <c r="CIZ183" s="21"/>
      <c r="CJA183" s="21"/>
      <c r="CJB183" s="21"/>
      <c r="CJC183" s="21"/>
      <c r="CJD183" s="21"/>
      <c r="CJE183" s="21"/>
      <c r="CJF183" s="21"/>
      <c r="CJG183" s="21"/>
      <c r="CJH183" s="21"/>
      <c r="CJI183" s="21"/>
      <c r="CJJ183" s="21"/>
      <c r="CJK183" s="21"/>
      <c r="CJL183" s="21"/>
      <c r="CJM183" s="21"/>
      <c r="CJN183" s="21"/>
      <c r="CJO183" s="21"/>
      <c r="CJP183" s="21"/>
      <c r="CJQ183" s="21"/>
      <c r="CJR183" s="21"/>
      <c r="CJS183" s="21"/>
      <c r="CJT183" s="21"/>
      <c r="CJU183" s="21"/>
      <c r="CJV183" s="21"/>
      <c r="CJW183" s="21"/>
      <c r="CJX183" s="21"/>
      <c r="CJY183" s="21"/>
      <c r="CJZ183" s="21"/>
      <c r="CKA183" s="21"/>
      <c r="CKB183" s="21"/>
      <c r="CKC183" s="21"/>
      <c r="CKD183" s="21"/>
      <c r="CKE183" s="21"/>
      <c r="CKF183" s="21"/>
      <c r="CKG183" s="21"/>
      <c r="CKH183" s="21"/>
      <c r="CKI183" s="21"/>
      <c r="CKJ183" s="21"/>
      <c r="CKK183" s="21"/>
      <c r="CKL183" s="21"/>
      <c r="CKM183" s="21"/>
      <c r="CKN183" s="21"/>
      <c r="CKO183" s="21"/>
      <c r="CKP183" s="21"/>
      <c r="CKQ183" s="21"/>
      <c r="CKR183" s="21"/>
      <c r="CKS183" s="21"/>
      <c r="CKT183" s="21"/>
      <c r="CKU183" s="21"/>
      <c r="CKV183" s="21"/>
      <c r="CKW183" s="21"/>
      <c r="CKX183" s="21"/>
      <c r="CKY183" s="21"/>
      <c r="CKZ183" s="21"/>
      <c r="CLA183" s="21"/>
      <c r="CLB183" s="21"/>
      <c r="CLC183" s="21"/>
      <c r="CLD183" s="21"/>
      <c r="CLE183" s="21"/>
      <c r="CLF183" s="21"/>
      <c r="CLG183" s="21"/>
      <c r="CLH183" s="21"/>
      <c r="CLI183" s="21"/>
      <c r="CLJ183" s="21"/>
      <c r="CLK183" s="21"/>
      <c r="CLL183" s="21"/>
      <c r="CLM183" s="21"/>
      <c r="CLN183" s="21"/>
      <c r="CLO183" s="21"/>
      <c r="CLP183" s="21"/>
      <c r="CLQ183" s="21"/>
      <c r="CLR183" s="21"/>
      <c r="CLS183" s="21"/>
      <c r="CLT183" s="21"/>
      <c r="CLU183" s="21"/>
      <c r="CLV183" s="21"/>
      <c r="CLW183" s="21"/>
      <c r="CLX183" s="21"/>
      <c r="CLY183" s="21"/>
      <c r="CLZ183" s="21"/>
      <c r="CMA183" s="21"/>
      <c r="CMB183" s="21"/>
      <c r="CMC183" s="21"/>
      <c r="CMD183" s="21"/>
      <c r="CME183" s="21"/>
      <c r="CMF183" s="21"/>
      <c r="CMG183" s="21"/>
      <c r="CMH183" s="21"/>
      <c r="CMI183" s="21"/>
      <c r="CMJ183" s="21"/>
      <c r="CMK183" s="21"/>
      <c r="CML183" s="21"/>
      <c r="CMM183" s="21"/>
      <c r="CMN183" s="21"/>
      <c r="CMO183" s="21"/>
      <c r="CMP183" s="21"/>
      <c r="CMQ183" s="21"/>
      <c r="CMR183" s="21"/>
      <c r="CMS183" s="21"/>
      <c r="CMT183" s="21"/>
      <c r="CMU183" s="21"/>
      <c r="CMV183" s="21"/>
      <c r="CMW183" s="21"/>
      <c r="CMX183" s="21"/>
      <c r="CMY183" s="21"/>
      <c r="CMZ183" s="21"/>
      <c r="CNA183" s="21"/>
      <c r="CNB183" s="21"/>
      <c r="CNC183" s="21"/>
      <c r="CND183" s="21"/>
      <c r="CNE183" s="21"/>
      <c r="CNF183" s="21"/>
      <c r="CNG183" s="21"/>
      <c r="CNH183" s="21"/>
      <c r="CNI183" s="21"/>
      <c r="CNJ183" s="21"/>
      <c r="CNK183" s="21"/>
      <c r="CNL183" s="21"/>
      <c r="CNM183" s="21"/>
      <c r="CNN183" s="21"/>
      <c r="CNO183" s="21"/>
      <c r="CNP183" s="21"/>
      <c r="CNQ183" s="21"/>
      <c r="CNR183" s="21"/>
      <c r="CNS183" s="21"/>
      <c r="CNT183" s="21"/>
      <c r="CNU183" s="21"/>
      <c r="CNV183" s="21"/>
      <c r="CNW183" s="21"/>
      <c r="CNX183" s="21"/>
      <c r="CNY183" s="21"/>
      <c r="CNZ183" s="21"/>
      <c r="COA183" s="21"/>
      <c r="COB183" s="21"/>
      <c r="COC183" s="21"/>
      <c r="COD183" s="21"/>
      <c r="COE183" s="21"/>
      <c r="COF183" s="21"/>
      <c r="COG183" s="21"/>
      <c r="COH183" s="21"/>
      <c r="COI183" s="21"/>
      <c r="COJ183" s="21"/>
      <c r="COK183" s="21"/>
      <c r="COL183" s="21"/>
      <c r="COM183" s="21"/>
      <c r="CON183" s="21"/>
      <c r="COO183" s="21"/>
      <c r="COP183" s="21"/>
      <c r="COQ183" s="21"/>
      <c r="COR183" s="21"/>
      <c r="COS183" s="21"/>
      <c r="COT183" s="21"/>
      <c r="COU183" s="21"/>
      <c r="COV183" s="21"/>
      <c r="COW183" s="21"/>
      <c r="COX183" s="21"/>
      <c r="COY183" s="21"/>
      <c r="COZ183" s="21"/>
      <c r="CPA183" s="21"/>
      <c r="CPB183" s="21"/>
      <c r="CPC183" s="21"/>
      <c r="CPD183" s="21"/>
      <c r="CPE183" s="21"/>
      <c r="CPF183" s="21"/>
      <c r="CPG183" s="21"/>
      <c r="CPH183" s="21"/>
      <c r="CPI183" s="21"/>
      <c r="CPJ183" s="21"/>
      <c r="CPK183" s="21"/>
      <c r="CPL183" s="21"/>
      <c r="CPM183" s="21"/>
      <c r="CPN183" s="21"/>
      <c r="CPO183" s="21"/>
      <c r="CPP183" s="21"/>
      <c r="CPQ183" s="21"/>
      <c r="CPR183" s="21"/>
      <c r="CPS183" s="21"/>
      <c r="CPT183" s="21"/>
      <c r="CPU183" s="21"/>
      <c r="CPV183" s="21"/>
      <c r="CPW183" s="21"/>
      <c r="CPX183" s="21"/>
      <c r="CPY183" s="21"/>
      <c r="CPZ183" s="21"/>
      <c r="CQA183" s="21"/>
      <c r="CQB183" s="21"/>
      <c r="CQC183" s="21"/>
      <c r="CQD183" s="21"/>
      <c r="CQE183" s="21"/>
      <c r="CQF183" s="21"/>
      <c r="CQG183" s="21"/>
      <c r="CQH183" s="21"/>
      <c r="CQI183" s="21"/>
      <c r="CQJ183" s="21"/>
      <c r="CQK183" s="21"/>
      <c r="CQL183" s="21"/>
      <c r="CQM183" s="21"/>
      <c r="CQN183" s="21"/>
      <c r="CQO183" s="21"/>
      <c r="CQP183" s="21"/>
      <c r="CQQ183" s="21"/>
      <c r="CQR183" s="21"/>
      <c r="CQS183" s="21"/>
      <c r="CQT183" s="21"/>
      <c r="CQU183" s="21"/>
      <c r="CQV183" s="21"/>
      <c r="CQW183" s="21"/>
      <c r="CQX183" s="21"/>
      <c r="CQY183" s="21"/>
      <c r="CQZ183" s="21"/>
      <c r="CRA183" s="21"/>
      <c r="CRB183" s="21"/>
      <c r="CRC183" s="21"/>
      <c r="CRD183" s="21"/>
      <c r="CRE183" s="21"/>
      <c r="CRF183" s="21"/>
      <c r="CRG183" s="21"/>
      <c r="CRH183" s="21"/>
      <c r="CRI183" s="21"/>
      <c r="CRJ183" s="21"/>
      <c r="CRK183" s="21"/>
      <c r="CRL183" s="21"/>
      <c r="CRM183" s="21"/>
      <c r="CRN183" s="21"/>
      <c r="CRO183" s="21"/>
      <c r="CRP183" s="21"/>
      <c r="CRQ183" s="21"/>
      <c r="CRR183" s="21"/>
      <c r="CRS183" s="21"/>
      <c r="CRT183" s="21"/>
      <c r="CRU183" s="21"/>
      <c r="CRV183" s="21"/>
      <c r="CRW183" s="21"/>
      <c r="CRX183" s="21"/>
      <c r="CRY183" s="21"/>
      <c r="CRZ183" s="21"/>
      <c r="CSA183" s="21"/>
      <c r="CSB183" s="21"/>
      <c r="CSC183" s="21"/>
      <c r="CSD183" s="21"/>
      <c r="CSE183" s="21"/>
      <c r="CSF183" s="21"/>
      <c r="CSG183" s="21"/>
      <c r="CSH183" s="21"/>
      <c r="CSI183" s="21"/>
      <c r="CSJ183" s="21"/>
      <c r="CSK183" s="21"/>
      <c r="CSL183" s="21"/>
      <c r="CSM183" s="21"/>
      <c r="CSN183" s="21"/>
      <c r="CSO183" s="21"/>
      <c r="CSP183" s="21"/>
      <c r="CSQ183" s="21"/>
      <c r="CSR183" s="21"/>
      <c r="CSS183" s="21"/>
      <c r="CST183" s="21"/>
      <c r="CSU183" s="21"/>
      <c r="CSV183" s="21"/>
      <c r="CSW183" s="21"/>
      <c r="CSX183" s="21"/>
      <c r="CSY183" s="21"/>
      <c r="CSZ183" s="21"/>
      <c r="CTA183" s="21"/>
      <c r="CTB183" s="21"/>
      <c r="CTC183" s="21"/>
      <c r="CTD183" s="21"/>
      <c r="CTE183" s="21"/>
      <c r="CTF183" s="21"/>
      <c r="CTG183" s="21"/>
      <c r="CTH183" s="21"/>
      <c r="CTI183" s="21"/>
      <c r="CTJ183" s="21"/>
      <c r="CTK183" s="21"/>
      <c r="CTL183" s="21"/>
      <c r="CTM183" s="21"/>
      <c r="CTN183" s="21"/>
      <c r="CTO183" s="21"/>
      <c r="CTP183" s="21"/>
      <c r="CTQ183" s="21"/>
      <c r="CTR183" s="21"/>
      <c r="CTS183" s="21"/>
      <c r="CTT183" s="21"/>
      <c r="CTU183" s="21"/>
      <c r="CTV183" s="21"/>
      <c r="CTW183" s="21"/>
      <c r="CTX183" s="21"/>
      <c r="CTY183" s="21"/>
      <c r="CTZ183" s="21"/>
      <c r="CUA183" s="21"/>
      <c r="CUB183" s="21"/>
      <c r="CUC183" s="21"/>
      <c r="CUD183" s="21"/>
      <c r="CUE183" s="21"/>
      <c r="CUF183" s="21"/>
      <c r="CUG183" s="21"/>
      <c r="CUH183" s="21"/>
      <c r="CUI183" s="21"/>
      <c r="CUJ183" s="21"/>
      <c r="CUK183" s="21"/>
      <c r="CUL183" s="21"/>
      <c r="CUM183" s="21"/>
      <c r="CUN183" s="21"/>
      <c r="CUO183" s="21"/>
      <c r="CUP183" s="21"/>
      <c r="CUQ183" s="21"/>
      <c r="CUR183" s="21"/>
      <c r="CUS183" s="21"/>
      <c r="CUT183" s="21"/>
      <c r="CUU183" s="21"/>
      <c r="CUV183" s="21"/>
      <c r="CUW183" s="21"/>
      <c r="CUX183" s="21"/>
      <c r="CUY183" s="21"/>
      <c r="CUZ183" s="21"/>
      <c r="CVA183" s="21"/>
      <c r="CVB183" s="21"/>
      <c r="CVC183" s="21"/>
      <c r="CVD183" s="21"/>
      <c r="CVE183" s="21"/>
      <c r="CVF183" s="21"/>
      <c r="CVG183" s="21"/>
      <c r="CVH183" s="21"/>
      <c r="CVI183" s="21"/>
      <c r="CVJ183" s="21"/>
      <c r="CVK183" s="21"/>
      <c r="CVL183" s="21"/>
      <c r="CVM183" s="21"/>
      <c r="CVN183" s="21"/>
      <c r="CVO183" s="21"/>
      <c r="CVP183" s="21"/>
      <c r="CVQ183" s="21"/>
      <c r="CVR183" s="21"/>
      <c r="CVS183" s="21"/>
      <c r="CVT183" s="21"/>
      <c r="CVU183" s="21"/>
      <c r="CVV183" s="21"/>
      <c r="CVW183" s="21"/>
      <c r="CVX183" s="21"/>
      <c r="CVY183" s="21"/>
      <c r="CVZ183" s="21"/>
      <c r="CWA183" s="21"/>
      <c r="CWB183" s="21"/>
      <c r="CWC183" s="21"/>
      <c r="CWD183" s="21"/>
      <c r="CWE183" s="21"/>
      <c r="CWF183" s="21"/>
      <c r="CWG183" s="21"/>
      <c r="CWH183" s="21"/>
      <c r="CWI183" s="21"/>
      <c r="CWJ183" s="21"/>
      <c r="CWK183" s="21"/>
      <c r="CWL183" s="21"/>
      <c r="CWM183" s="21"/>
      <c r="CWN183" s="21"/>
      <c r="CWO183" s="21"/>
      <c r="CWP183" s="21"/>
      <c r="CWQ183" s="21"/>
      <c r="CWR183" s="21"/>
      <c r="CWS183" s="21"/>
      <c r="CWT183" s="21"/>
      <c r="CWU183" s="21"/>
      <c r="CWV183" s="21"/>
      <c r="CWW183" s="21"/>
      <c r="CWX183" s="21"/>
      <c r="CWY183" s="21"/>
      <c r="CWZ183" s="21"/>
      <c r="CXA183" s="21"/>
      <c r="CXB183" s="21"/>
      <c r="CXC183" s="21"/>
      <c r="CXD183" s="21"/>
      <c r="CXE183" s="21"/>
      <c r="CXF183" s="21"/>
      <c r="CXG183" s="21"/>
      <c r="CXH183" s="21"/>
      <c r="CXI183" s="21"/>
      <c r="CXJ183" s="21"/>
      <c r="CXK183" s="21"/>
      <c r="CXL183" s="21"/>
      <c r="CXM183" s="21"/>
      <c r="CXN183" s="21"/>
      <c r="CXO183" s="21"/>
      <c r="CXP183" s="21"/>
      <c r="CXQ183" s="21"/>
      <c r="CXR183" s="21"/>
      <c r="CXS183" s="21"/>
      <c r="CXT183" s="21"/>
      <c r="CXU183" s="21"/>
      <c r="CXV183" s="21"/>
      <c r="CXW183" s="21"/>
      <c r="CXX183" s="21"/>
      <c r="CXY183" s="21"/>
      <c r="CXZ183" s="21"/>
      <c r="CYA183" s="21"/>
      <c r="CYB183" s="21"/>
      <c r="CYC183" s="21"/>
      <c r="CYD183" s="21"/>
      <c r="CYE183" s="21"/>
      <c r="CYF183" s="21"/>
      <c r="CYG183" s="21"/>
      <c r="CYH183" s="21"/>
      <c r="CYI183" s="21"/>
      <c r="CYJ183" s="21"/>
      <c r="CYK183" s="21"/>
      <c r="CYL183" s="21"/>
      <c r="CYM183" s="21"/>
      <c r="CYN183" s="21"/>
      <c r="CYO183" s="21"/>
      <c r="CYP183" s="21"/>
      <c r="CYQ183" s="21"/>
      <c r="CYR183" s="21"/>
      <c r="CYS183" s="21"/>
      <c r="CYT183" s="21"/>
      <c r="CYU183" s="21"/>
      <c r="CYV183" s="21"/>
      <c r="CYW183" s="21"/>
      <c r="CYX183" s="21"/>
      <c r="CYY183" s="21"/>
      <c r="CYZ183" s="21"/>
      <c r="CZA183" s="21"/>
      <c r="CZB183" s="21"/>
      <c r="CZC183" s="21"/>
      <c r="CZD183" s="21"/>
      <c r="CZE183" s="21"/>
      <c r="CZF183" s="21"/>
      <c r="CZG183" s="21"/>
      <c r="CZH183" s="21"/>
      <c r="CZI183" s="21"/>
      <c r="CZJ183" s="21"/>
      <c r="CZK183" s="21"/>
      <c r="CZL183" s="21"/>
      <c r="CZM183" s="21"/>
      <c r="CZN183" s="21"/>
      <c r="CZO183" s="21"/>
      <c r="CZP183" s="21"/>
      <c r="CZQ183" s="21"/>
      <c r="CZR183" s="21"/>
      <c r="CZS183" s="21"/>
      <c r="CZT183" s="21"/>
      <c r="CZU183" s="21"/>
      <c r="CZV183" s="21"/>
      <c r="CZW183" s="21"/>
      <c r="CZX183" s="21"/>
      <c r="CZY183" s="21"/>
      <c r="CZZ183" s="21"/>
      <c r="DAA183" s="21"/>
      <c r="DAB183" s="21"/>
      <c r="DAC183" s="21"/>
      <c r="DAD183" s="21"/>
      <c r="DAE183" s="21"/>
      <c r="DAF183" s="21"/>
      <c r="DAG183" s="21"/>
      <c r="DAH183" s="21"/>
      <c r="DAI183" s="21"/>
      <c r="DAJ183" s="21"/>
      <c r="DAK183" s="21"/>
      <c r="DAL183" s="21"/>
      <c r="DAM183" s="21"/>
      <c r="DAN183" s="21"/>
      <c r="DAO183" s="21"/>
      <c r="DAP183" s="21"/>
      <c r="DAQ183" s="21"/>
      <c r="DAR183" s="21"/>
      <c r="DAS183" s="21"/>
      <c r="DAT183" s="21"/>
      <c r="DAU183" s="21"/>
      <c r="DAV183" s="21"/>
      <c r="DAW183" s="21"/>
      <c r="DAX183" s="21"/>
      <c r="DAY183" s="21"/>
      <c r="DAZ183" s="21"/>
      <c r="DBA183" s="21"/>
      <c r="DBB183" s="21"/>
      <c r="DBC183" s="21"/>
      <c r="DBD183" s="21"/>
      <c r="DBE183" s="21"/>
      <c r="DBF183" s="21"/>
      <c r="DBG183" s="21"/>
      <c r="DBH183" s="21"/>
      <c r="DBI183" s="21"/>
      <c r="DBJ183" s="21"/>
      <c r="DBK183" s="21"/>
      <c r="DBL183" s="21"/>
      <c r="DBM183" s="21"/>
      <c r="DBN183" s="21"/>
      <c r="DBO183" s="21"/>
      <c r="DBP183" s="21"/>
      <c r="DBQ183" s="21"/>
      <c r="DBR183" s="21"/>
      <c r="DBS183" s="21"/>
      <c r="DBT183" s="21"/>
      <c r="DBU183" s="21"/>
      <c r="DBV183" s="21"/>
      <c r="DBW183" s="21"/>
      <c r="DBX183" s="21"/>
      <c r="DBY183" s="21"/>
      <c r="DBZ183" s="21"/>
      <c r="DCA183" s="21"/>
      <c r="DCB183" s="21"/>
      <c r="DCC183" s="21"/>
      <c r="DCD183" s="21"/>
      <c r="DCE183" s="21"/>
      <c r="DCF183" s="21"/>
      <c r="DCG183" s="21"/>
      <c r="DCH183" s="21"/>
      <c r="DCI183" s="21"/>
      <c r="DCJ183" s="21"/>
      <c r="DCK183" s="21"/>
      <c r="DCL183" s="21"/>
      <c r="DCM183" s="21"/>
      <c r="DCN183" s="21"/>
      <c r="DCO183" s="21"/>
      <c r="DCP183" s="21"/>
      <c r="DCQ183" s="21"/>
      <c r="DCR183" s="21"/>
      <c r="DCS183" s="21"/>
      <c r="DCT183" s="21"/>
      <c r="DCU183" s="21"/>
      <c r="DCV183" s="21"/>
      <c r="DCW183" s="21"/>
      <c r="DCX183" s="21"/>
      <c r="DCY183" s="21"/>
      <c r="DCZ183" s="21"/>
      <c r="DDA183" s="21"/>
      <c r="DDB183" s="21"/>
      <c r="DDC183" s="21"/>
      <c r="DDD183" s="21"/>
      <c r="DDE183" s="21"/>
      <c r="DDF183" s="21"/>
      <c r="DDG183" s="21"/>
      <c r="DDH183" s="21"/>
      <c r="DDI183" s="21"/>
      <c r="DDJ183" s="21"/>
      <c r="DDK183" s="21"/>
      <c r="DDL183" s="21"/>
      <c r="DDM183" s="21"/>
      <c r="DDN183" s="21"/>
      <c r="DDO183" s="21"/>
      <c r="DDP183" s="21"/>
      <c r="DDQ183" s="21"/>
      <c r="DDR183" s="21"/>
      <c r="DDS183" s="21"/>
      <c r="DDT183" s="21"/>
      <c r="DDU183" s="21"/>
      <c r="DDV183" s="21"/>
      <c r="DDW183" s="21"/>
      <c r="DDX183" s="21"/>
      <c r="DDY183" s="21"/>
      <c r="DDZ183" s="21"/>
      <c r="DEA183" s="21"/>
      <c r="DEB183" s="21"/>
      <c r="DEC183" s="21"/>
      <c r="DED183" s="21"/>
      <c r="DEE183" s="21"/>
      <c r="DEF183" s="21"/>
      <c r="DEG183" s="21"/>
      <c r="DEH183" s="21"/>
      <c r="DEI183" s="21"/>
      <c r="DEJ183" s="21"/>
      <c r="DEK183" s="21"/>
      <c r="DEL183" s="21"/>
      <c r="DEM183" s="21"/>
      <c r="DEN183" s="21"/>
      <c r="DEO183" s="21"/>
      <c r="DEP183" s="21"/>
      <c r="DEQ183" s="21"/>
      <c r="DER183" s="21"/>
      <c r="DES183" s="21"/>
      <c r="DET183" s="21"/>
      <c r="DEU183" s="21"/>
      <c r="DEV183" s="21"/>
      <c r="DEW183" s="21"/>
      <c r="DEX183" s="21"/>
      <c r="DEY183" s="21"/>
      <c r="DEZ183" s="21"/>
      <c r="DFA183" s="21"/>
      <c r="DFB183" s="21"/>
      <c r="DFC183" s="21"/>
      <c r="DFD183" s="21"/>
      <c r="DFE183" s="21"/>
      <c r="DFF183" s="21"/>
      <c r="DFG183" s="21"/>
      <c r="DFH183" s="21"/>
      <c r="DFI183" s="21"/>
      <c r="DFJ183" s="21"/>
      <c r="DFK183" s="21"/>
      <c r="DFL183" s="21"/>
      <c r="DFM183" s="21"/>
      <c r="DFN183" s="21"/>
      <c r="DFO183" s="21"/>
      <c r="DFP183" s="21"/>
      <c r="DFQ183" s="21"/>
      <c r="DFR183" s="21"/>
      <c r="DFS183" s="21"/>
      <c r="DFT183" s="21"/>
      <c r="DFU183" s="21"/>
      <c r="DFV183" s="21"/>
      <c r="DFW183" s="21"/>
      <c r="DFX183" s="21"/>
      <c r="DFY183" s="21"/>
      <c r="DFZ183" s="21"/>
      <c r="DGA183" s="21"/>
      <c r="DGB183" s="21"/>
      <c r="DGC183" s="21"/>
      <c r="DGD183" s="21"/>
      <c r="DGE183" s="21"/>
      <c r="DGF183" s="21"/>
      <c r="DGG183" s="21"/>
      <c r="DGH183" s="21"/>
      <c r="DGI183" s="21"/>
      <c r="DGJ183" s="21"/>
      <c r="DGK183" s="21"/>
      <c r="DGL183" s="21"/>
      <c r="DGM183" s="21"/>
      <c r="DGN183" s="21"/>
      <c r="DGO183" s="21"/>
      <c r="DGP183" s="21"/>
      <c r="DGQ183" s="21"/>
      <c r="DGR183" s="21"/>
      <c r="DGS183" s="21"/>
      <c r="DGT183" s="21"/>
      <c r="DGU183" s="21"/>
      <c r="DGV183" s="21"/>
      <c r="DGW183" s="21"/>
      <c r="DGX183" s="21"/>
      <c r="DGY183" s="21"/>
      <c r="DGZ183" s="21"/>
      <c r="DHA183" s="21"/>
      <c r="DHB183" s="21"/>
      <c r="DHC183" s="21"/>
      <c r="DHD183" s="21"/>
      <c r="DHE183" s="21"/>
      <c r="DHF183" s="21"/>
      <c r="DHG183" s="21"/>
      <c r="DHH183" s="21"/>
      <c r="DHI183" s="21"/>
      <c r="DHJ183" s="21"/>
      <c r="DHK183" s="21"/>
      <c r="DHL183" s="21"/>
      <c r="DHM183" s="21"/>
      <c r="DHN183" s="21"/>
      <c r="DHO183" s="21"/>
      <c r="DHP183" s="21"/>
      <c r="DHQ183" s="21"/>
      <c r="DHR183" s="21"/>
      <c r="DHS183" s="21"/>
      <c r="DHT183" s="21"/>
      <c r="DHU183" s="21"/>
      <c r="DHV183" s="21"/>
      <c r="DHW183" s="21"/>
      <c r="DHX183" s="21"/>
      <c r="DHY183" s="21"/>
      <c r="DHZ183" s="21"/>
      <c r="DIA183" s="21"/>
      <c r="DIB183" s="21"/>
      <c r="DIC183" s="21"/>
      <c r="DID183" s="21"/>
      <c r="DIE183" s="21"/>
      <c r="DIF183" s="21"/>
      <c r="DIG183" s="21"/>
      <c r="DIH183" s="21"/>
      <c r="DII183" s="21"/>
      <c r="DIJ183" s="21"/>
      <c r="DIK183" s="21"/>
      <c r="DIL183" s="21"/>
      <c r="DIM183" s="21"/>
      <c r="DIN183" s="21"/>
      <c r="DIO183" s="21"/>
      <c r="DIP183" s="21"/>
      <c r="DIQ183" s="21"/>
      <c r="DIR183" s="21"/>
      <c r="DIS183" s="21"/>
      <c r="DIT183" s="21"/>
      <c r="DIU183" s="21"/>
      <c r="DIV183" s="21"/>
      <c r="DIW183" s="21"/>
      <c r="DIX183" s="21"/>
      <c r="DIY183" s="21"/>
      <c r="DIZ183" s="21"/>
      <c r="DJA183" s="21"/>
      <c r="DJB183" s="21"/>
      <c r="DJC183" s="21"/>
      <c r="DJD183" s="21"/>
      <c r="DJE183" s="21"/>
      <c r="DJF183" s="21"/>
      <c r="DJG183" s="21"/>
      <c r="DJH183" s="21"/>
      <c r="DJI183" s="21"/>
      <c r="DJJ183" s="21"/>
      <c r="DJK183" s="21"/>
      <c r="DJL183" s="21"/>
      <c r="DJM183" s="21"/>
      <c r="DJN183" s="21"/>
      <c r="DJO183" s="21"/>
      <c r="DJP183" s="21"/>
      <c r="DJQ183" s="21"/>
      <c r="DJR183" s="21"/>
      <c r="DJS183" s="21"/>
      <c r="DJT183" s="21"/>
      <c r="DJU183" s="21"/>
      <c r="DJV183" s="21"/>
      <c r="DJW183" s="21"/>
      <c r="DJX183" s="21"/>
      <c r="DJY183" s="21"/>
      <c r="DJZ183" s="21"/>
      <c r="DKA183" s="21"/>
      <c r="DKB183" s="21"/>
      <c r="DKC183" s="21"/>
      <c r="DKD183" s="21"/>
      <c r="DKE183" s="21"/>
      <c r="DKF183" s="21"/>
      <c r="DKG183" s="21"/>
      <c r="DKH183" s="21"/>
      <c r="DKI183" s="21"/>
      <c r="DKJ183" s="21"/>
      <c r="DKK183" s="21"/>
      <c r="DKL183" s="21"/>
      <c r="DKM183" s="21"/>
      <c r="DKN183" s="21"/>
      <c r="DKO183" s="21"/>
      <c r="DKP183" s="21"/>
      <c r="DKQ183" s="21"/>
      <c r="DKR183" s="21"/>
      <c r="DKS183" s="21"/>
      <c r="DKT183" s="21"/>
      <c r="DKU183" s="21"/>
      <c r="DKV183" s="21"/>
      <c r="DKW183" s="21"/>
      <c r="DKX183" s="21"/>
      <c r="DKY183" s="21"/>
      <c r="DKZ183" s="21"/>
      <c r="DLA183" s="21"/>
      <c r="DLB183" s="21"/>
      <c r="DLC183" s="21"/>
      <c r="DLD183" s="21"/>
      <c r="DLE183" s="21"/>
      <c r="DLF183" s="21"/>
      <c r="DLG183" s="21"/>
      <c r="DLH183" s="21"/>
      <c r="DLI183" s="21"/>
      <c r="DLJ183" s="21"/>
      <c r="DLK183" s="21"/>
      <c r="DLL183" s="21"/>
      <c r="DLM183" s="21"/>
      <c r="DLN183" s="21"/>
      <c r="DLO183" s="21"/>
      <c r="DLP183" s="21"/>
      <c r="DLQ183" s="21"/>
      <c r="DLR183" s="21"/>
      <c r="DLS183" s="21"/>
      <c r="DLT183" s="21"/>
      <c r="DLU183" s="21"/>
      <c r="DLV183" s="21"/>
      <c r="DLW183" s="21"/>
      <c r="DLX183" s="21"/>
      <c r="DLY183" s="21"/>
      <c r="DLZ183" s="21"/>
      <c r="DMA183" s="21"/>
      <c r="DMB183" s="21"/>
      <c r="DMC183" s="21"/>
      <c r="DMD183" s="21"/>
      <c r="DME183" s="21"/>
      <c r="DMF183" s="21"/>
      <c r="DMG183" s="21"/>
      <c r="DMH183" s="21"/>
      <c r="DMI183" s="21"/>
      <c r="DMJ183" s="21"/>
      <c r="DMK183" s="21"/>
      <c r="DML183" s="21"/>
      <c r="DMM183" s="21"/>
      <c r="DMN183" s="21"/>
      <c r="DMO183" s="21"/>
      <c r="DMP183" s="21"/>
      <c r="DMQ183" s="21"/>
      <c r="DMR183" s="21"/>
      <c r="DMS183" s="21"/>
      <c r="DMT183" s="21"/>
      <c r="DMU183" s="21"/>
      <c r="DMV183" s="21"/>
      <c r="DMW183" s="21"/>
      <c r="DMX183" s="21"/>
      <c r="DMY183" s="21"/>
      <c r="DMZ183" s="21"/>
      <c r="DNA183" s="21"/>
      <c r="DNB183" s="21"/>
      <c r="DNC183" s="21"/>
      <c r="DND183" s="21"/>
      <c r="DNE183" s="21"/>
      <c r="DNF183" s="21"/>
      <c r="DNG183" s="21"/>
      <c r="DNH183" s="21"/>
      <c r="DNI183" s="21"/>
      <c r="DNJ183" s="21"/>
      <c r="DNK183" s="21"/>
      <c r="DNL183" s="21"/>
      <c r="DNM183" s="21"/>
      <c r="DNN183" s="21"/>
      <c r="DNO183" s="21"/>
      <c r="DNP183" s="21"/>
      <c r="DNQ183" s="21"/>
      <c r="DNR183" s="21"/>
      <c r="DNS183" s="21"/>
      <c r="DNT183" s="21"/>
      <c r="DNU183" s="21"/>
      <c r="DNV183" s="21"/>
      <c r="DNW183" s="21"/>
      <c r="DNX183" s="21"/>
      <c r="DNY183" s="21"/>
      <c r="DNZ183" s="21"/>
      <c r="DOA183" s="21"/>
      <c r="DOB183" s="21"/>
      <c r="DOC183" s="21"/>
      <c r="DOD183" s="21"/>
      <c r="DOE183" s="21"/>
      <c r="DOF183" s="21"/>
      <c r="DOG183" s="21"/>
      <c r="DOH183" s="21"/>
      <c r="DOI183" s="21"/>
      <c r="DOJ183" s="21"/>
      <c r="DOK183" s="21"/>
      <c r="DOL183" s="21"/>
      <c r="DOM183" s="21"/>
      <c r="DON183" s="21"/>
      <c r="DOO183" s="21"/>
      <c r="DOP183" s="21"/>
      <c r="DOQ183" s="21"/>
      <c r="DOR183" s="21"/>
      <c r="DOS183" s="21"/>
      <c r="DOT183" s="21"/>
      <c r="DOU183" s="21"/>
      <c r="DOV183" s="21"/>
      <c r="DOW183" s="21"/>
      <c r="DOX183" s="21"/>
      <c r="DOY183" s="21"/>
      <c r="DOZ183" s="21"/>
      <c r="DPA183" s="21"/>
      <c r="DPB183" s="21"/>
      <c r="DPC183" s="21"/>
      <c r="DPD183" s="21"/>
      <c r="DPE183" s="21"/>
      <c r="DPF183" s="21"/>
      <c r="DPG183" s="21"/>
      <c r="DPH183" s="21"/>
      <c r="DPI183" s="21"/>
      <c r="DPJ183" s="21"/>
      <c r="DPK183" s="21"/>
      <c r="DPL183" s="21"/>
      <c r="DPM183" s="21"/>
      <c r="DPN183" s="21"/>
      <c r="DPO183" s="21"/>
      <c r="DPP183" s="21"/>
      <c r="DPQ183" s="21"/>
      <c r="DPR183" s="21"/>
      <c r="DPS183" s="21"/>
      <c r="DPT183" s="21"/>
      <c r="DPU183" s="21"/>
      <c r="DPV183" s="21"/>
      <c r="DPW183" s="21"/>
      <c r="DPX183" s="21"/>
      <c r="DPY183" s="21"/>
      <c r="DPZ183" s="21"/>
      <c r="DQA183" s="21"/>
      <c r="DQB183" s="21"/>
      <c r="DQC183" s="21"/>
      <c r="DQD183" s="21"/>
      <c r="DQE183" s="21"/>
      <c r="DQF183" s="21"/>
      <c r="DQG183" s="21"/>
      <c r="DQH183" s="21"/>
      <c r="DQI183" s="21"/>
      <c r="DQJ183" s="21"/>
      <c r="DQK183" s="21"/>
      <c r="DQL183" s="21"/>
      <c r="DQM183" s="21"/>
      <c r="DQN183" s="21"/>
      <c r="DQO183" s="21"/>
      <c r="DQP183" s="21"/>
      <c r="DQQ183" s="21"/>
      <c r="DQR183" s="21"/>
      <c r="DQS183" s="21"/>
      <c r="DQT183" s="21"/>
      <c r="DQU183" s="21"/>
      <c r="DQV183" s="21"/>
      <c r="DQW183" s="21"/>
      <c r="DQX183" s="21"/>
      <c r="DQY183" s="21"/>
      <c r="DQZ183" s="21"/>
      <c r="DRA183" s="21"/>
      <c r="DRB183" s="21"/>
      <c r="DRC183" s="21"/>
      <c r="DRD183" s="21"/>
      <c r="DRE183" s="21"/>
      <c r="DRF183" s="21"/>
      <c r="DRG183" s="21"/>
      <c r="DRH183" s="21"/>
      <c r="DRI183" s="21"/>
      <c r="DRJ183" s="21"/>
      <c r="DRK183" s="21"/>
      <c r="DRL183" s="21"/>
      <c r="DRM183" s="21"/>
      <c r="DRN183" s="21"/>
      <c r="DRO183" s="21"/>
      <c r="DRP183" s="21"/>
      <c r="DRQ183" s="21"/>
      <c r="DRR183" s="21"/>
      <c r="DRS183" s="21"/>
      <c r="DRT183" s="21"/>
      <c r="DRU183" s="21"/>
      <c r="DRV183" s="21"/>
      <c r="DRW183" s="21"/>
      <c r="DRX183" s="21"/>
      <c r="DRY183" s="21"/>
      <c r="DRZ183" s="21"/>
      <c r="DSA183" s="21"/>
      <c r="DSB183" s="21"/>
      <c r="DSC183" s="21"/>
      <c r="DSD183" s="21"/>
      <c r="DSE183" s="21"/>
      <c r="DSF183" s="21"/>
      <c r="DSG183" s="21"/>
      <c r="DSH183" s="21"/>
      <c r="DSI183" s="21"/>
      <c r="DSJ183" s="21"/>
      <c r="DSK183" s="21"/>
      <c r="DSL183" s="21"/>
      <c r="DSM183" s="21"/>
      <c r="DSN183" s="21"/>
      <c r="DSO183" s="21"/>
      <c r="DSP183" s="21"/>
      <c r="DSQ183" s="21"/>
      <c r="DSR183" s="21"/>
      <c r="DSS183" s="21"/>
      <c r="DST183" s="21"/>
      <c r="DSU183" s="21"/>
      <c r="DSV183" s="21"/>
      <c r="DSW183" s="21"/>
      <c r="DSX183" s="21"/>
      <c r="DSY183" s="21"/>
      <c r="DSZ183" s="21"/>
      <c r="DTA183" s="21"/>
      <c r="DTB183" s="21"/>
      <c r="DTC183" s="21"/>
      <c r="DTD183" s="21"/>
      <c r="DTE183" s="21"/>
      <c r="DTF183" s="21"/>
      <c r="DTG183" s="21"/>
      <c r="DTH183" s="21"/>
      <c r="DTI183" s="21"/>
      <c r="DTJ183" s="21"/>
      <c r="DTK183" s="21"/>
      <c r="DTL183" s="21"/>
      <c r="DTM183" s="21"/>
      <c r="DTN183" s="21"/>
      <c r="DTO183" s="21"/>
      <c r="DTP183" s="21"/>
      <c r="DTQ183" s="21"/>
      <c r="DTR183" s="21"/>
      <c r="DTS183" s="21"/>
      <c r="DTT183" s="21"/>
      <c r="DTU183" s="21"/>
      <c r="DTV183" s="21"/>
      <c r="DTW183" s="21"/>
      <c r="DTX183" s="21"/>
      <c r="DTY183" s="21"/>
      <c r="DTZ183" s="21"/>
      <c r="DUA183" s="21"/>
      <c r="DUB183" s="21"/>
      <c r="DUC183" s="21"/>
      <c r="DUD183" s="21"/>
      <c r="DUE183" s="21"/>
      <c r="DUF183" s="21"/>
      <c r="DUG183" s="21"/>
      <c r="DUH183" s="21"/>
      <c r="DUI183" s="21"/>
      <c r="DUJ183" s="21"/>
      <c r="DUK183" s="21"/>
      <c r="DUL183" s="21"/>
      <c r="DUM183" s="21"/>
      <c r="DUN183" s="21"/>
      <c r="DUO183" s="21"/>
      <c r="DUP183" s="21"/>
      <c r="DUQ183" s="21"/>
      <c r="DUR183" s="21"/>
      <c r="DUS183" s="21"/>
      <c r="DUT183" s="21"/>
      <c r="DUU183" s="21"/>
      <c r="DUV183" s="21"/>
      <c r="DUW183" s="21"/>
      <c r="DUX183" s="21"/>
      <c r="DUY183" s="21"/>
      <c r="DUZ183" s="21"/>
      <c r="DVA183" s="21"/>
      <c r="DVB183" s="21"/>
      <c r="DVC183" s="21"/>
      <c r="DVD183" s="21"/>
      <c r="DVE183" s="21"/>
      <c r="DVF183" s="21"/>
      <c r="DVG183" s="21"/>
      <c r="DVH183" s="21"/>
      <c r="DVI183" s="21"/>
      <c r="DVJ183" s="21"/>
      <c r="DVK183" s="21"/>
      <c r="DVL183" s="21"/>
      <c r="DVM183" s="21"/>
      <c r="DVN183" s="21"/>
      <c r="DVO183" s="21"/>
      <c r="DVP183" s="21"/>
      <c r="DVQ183" s="21"/>
      <c r="DVR183" s="21"/>
      <c r="DVS183" s="21"/>
      <c r="DVT183" s="21"/>
      <c r="DVU183" s="21"/>
      <c r="DVV183" s="21"/>
      <c r="DVW183" s="21"/>
      <c r="DVX183" s="21"/>
      <c r="DVY183" s="21"/>
      <c r="DVZ183" s="21"/>
      <c r="DWA183" s="21"/>
      <c r="DWB183" s="21"/>
      <c r="DWC183" s="21"/>
      <c r="DWD183" s="21"/>
      <c r="DWE183" s="21"/>
      <c r="DWF183" s="21"/>
      <c r="DWG183" s="21"/>
      <c r="DWH183" s="21"/>
      <c r="DWI183" s="21"/>
      <c r="DWJ183" s="21"/>
      <c r="DWK183" s="21"/>
      <c r="DWL183" s="21"/>
      <c r="DWM183" s="21"/>
      <c r="DWN183" s="21"/>
      <c r="DWO183" s="21"/>
      <c r="DWP183" s="21"/>
      <c r="DWQ183" s="21"/>
      <c r="DWR183" s="21"/>
      <c r="DWS183" s="21"/>
      <c r="DWT183" s="21"/>
      <c r="DWU183" s="21"/>
      <c r="DWV183" s="21"/>
      <c r="DWW183" s="21"/>
      <c r="DWX183" s="21"/>
      <c r="DWY183" s="21"/>
      <c r="DWZ183" s="21"/>
      <c r="DXA183" s="21"/>
      <c r="DXB183" s="21"/>
      <c r="DXC183" s="21"/>
      <c r="DXD183" s="21"/>
      <c r="DXE183" s="21"/>
      <c r="DXF183" s="21"/>
      <c r="DXG183" s="21"/>
      <c r="DXH183" s="21"/>
      <c r="DXI183" s="21"/>
      <c r="DXJ183" s="21"/>
      <c r="DXK183" s="21"/>
      <c r="DXL183" s="21"/>
      <c r="DXM183" s="21"/>
      <c r="DXN183" s="21"/>
      <c r="DXO183" s="21"/>
      <c r="DXP183" s="21"/>
      <c r="DXQ183" s="21"/>
      <c r="DXR183" s="21"/>
      <c r="DXS183" s="21"/>
      <c r="DXT183" s="21"/>
      <c r="DXU183" s="21"/>
      <c r="DXV183" s="21"/>
      <c r="DXW183" s="21"/>
      <c r="DXX183" s="21"/>
      <c r="DXY183" s="21"/>
      <c r="DXZ183" s="21"/>
      <c r="DYA183" s="21"/>
      <c r="DYB183" s="21"/>
      <c r="DYC183" s="21"/>
      <c r="DYD183" s="21"/>
      <c r="DYE183" s="21"/>
      <c r="DYF183" s="21"/>
      <c r="DYG183" s="21"/>
      <c r="DYH183" s="21"/>
      <c r="DYI183" s="21"/>
      <c r="DYJ183" s="21"/>
      <c r="DYK183" s="21"/>
      <c r="DYL183" s="21"/>
      <c r="DYM183" s="21"/>
      <c r="DYN183" s="21"/>
      <c r="DYO183" s="21"/>
      <c r="DYP183" s="21"/>
      <c r="DYQ183" s="21"/>
      <c r="DYR183" s="21"/>
      <c r="DYS183" s="21"/>
      <c r="DYT183" s="21"/>
      <c r="DYU183" s="21"/>
      <c r="DYV183" s="21"/>
      <c r="DYW183" s="21"/>
      <c r="DYX183" s="21"/>
      <c r="DYY183" s="21"/>
      <c r="DYZ183" s="21"/>
      <c r="DZA183" s="21"/>
      <c r="DZB183" s="21"/>
      <c r="DZC183" s="21"/>
      <c r="DZD183" s="21"/>
      <c r="DZE183" s="21"/>
      <c r="DZF183" s="21"/>
      <c r="DZG183" s="21"/>
      <c r="DZH183" s="21"/>
      <c r="DZI183" s="21"/>
      <c r="DZJ183" s="21"/>
      <c r="DZK183" s="21"/>
      <c r="DZL183" s="21"/>
      <c r="DZM183" s="21"/>
      <c r="DZN183" s="21"/>
      <c r="DZO183" s="21"/>
      <c r="DZP183" s="21"/>
      <c r="DZQ183" s="21"/>
      <c r="DZR183" s="21"/>
      <c r="DZS183" s="21"/>
      <c r="DZT183" s="21"/>
      <c r="DZU183" s="21"/>
      <c r="DZV183" s="21"/>
      <c r="DZW183" s="21"/>
      <c r="DZX183" s="21"/>
      <c r="DZY183" s="21"/>
      <c r="DZZ183" s="21"/>
      <c r="EAA183" s="21"/>
      <c r="EAB183" s="21"/>
      <c r="EAC183" s="21"/>
      <c r="EAD183" s="21"/>
      <c r="EAE183" s="21"/>
      <c r="EAF183" s="21"/>
      <c r="EAG183" s="21"/>
      <c r="EAH183" s="21"/>
      <c r="EAI183" s="21"/>
      <c r="EAJ183" s="21"/>
      <c r="EAK183" s="21"/>
      <c r="EAL183" s="21"/>
      <c r="EAM183" s="21"/>
      <c r="EAN183" s="21"/>
      <c r="EAO183" s="21"/>
      <c r="EAP183" s="21"/>
      <c r="EAQ183" s="21"/>
      <c r="EAR183" s="21"/>
      <c r="EAS183" s="21"/>
      <c r="EAT183" s="21"/>
      <c r="EAU183" s="21"/>
      <c r="EAV183" s="21"/>
      <c r="EAW183" s="21"/>
      <c r="EAX183" s="21"/>
      <c r="EAY183" s="21"/>
      <c r="EAZ183" s="21"/>
      <c r="EBA183" s="21"/>
      <c r="EBB183" s="21"/>
      <c r="EBC183" s="21"/>
      <c r="EBD183" s="21"/>
      <c r="EBE183" s="21"/>
      <c r="EBF183" s="21"/>
      <c r="EBG183" s="21"/>
      <c r="EBH183" s="21"/>
      <c r="EBI183" s="21"/>
      <c r="EBJ183" s="21"/>
      <c r="EBK183" s="21"/>
      <c r="EBL183" s="21"/>
      <c r="EBM183" s="21"/>
      <c r="EBN183" s="21"/>
      <c r="EBO183" s="21"/>
      <c r="EBP183" s="21"/>
      <c r="EBQ183" s="21"/>
      <c r="EBR183" s="21"/>
      <c r="EBS183" s="21"/>
      <c r="EBT183" s="21"/>
      <c r="EBU183" s="21"/>
      <c r="EBV183" s="21"/>
      <c r="EBW183" s="21"/>
      <c r="EBX183" s="21"/>
      <c r="EBY183" s="21"/>
      <c r="EBZ183" s="21"/>
      <c r="ECA183" s="21"/>
      <c r="ECB183" s="21"/>
      <c r="ECC183" s="21"/>
      <c r="ECD183" s="21"/>
      <c r="ECE183" s="21"/>
      <c r="ECF183" s="21"/>
      <c r="ECG183" s="21"/>
      <c r="ECH183" s="21"/>
      <c r="ECI183" s="21"/>
      <c r="ECJ183" s="21"/>
      <c r="ECK183" s="21"/>
      <c r="ECL183" s="21"/>
      <c r="ECM183" s="21"/>
      <c r="ECN183" s="21"/>
      <c r="ECO183" s="21"/>
      <c r="ECP183" s="21"/>
      <c r="ECQ183" s="21"/>
      <c r="ECR183" s="21"/>
      <c r="ECS183" s="21"/>
      <c r="ECT183" s="21"/>
      <c r="ECU183" s="21"/>
      <c r="ECV183" s="21"/>
      <c r="ECW183" s="21"/>
      <c r="ECX183" s="21"/>
      <c r="ECY183" s="21"/>
      <c r="ECZ183" s="21"/>
      <c r="EDA183" s="21"/>
      <c r="EDB183" s="21"/>
      <c r="EDC183" s="21"/>
      <c r="EDD183" s="21"/>
      <c r="EDE183" s="21"/>
      <c r="EDF183" s="21"/>
      <c r="EDG183" s="21"/>
      <c r="EDH183" s="21"/>
      <c r="EDI183" s="21"/>
      <c r="EDJ183" s="21"/>
      <c r="EDK183" s="21"/>
      <c r="EDL183" s="21"/>
      <c r="EDM183" s="21"/>
      <c r="EDN183" s="21"/>
      <c r="EDO183" s="21"/>
      <c r="EDP183" s="21"/>
      <c r="EDQ183" s="21"/>
      <c r="EDR183" s="21"/>
      <c r="EDS183" s="21"/>
      <c r="EDT183" s="21"/>
      <c r="EDU183" s="21"/>
      <c r="EDV183" s="21"/>
      <c r="EDW183" s="21"/>
      <c r="EDX183" s="21"/>
      <c r="EDY183" s="21"/>
      <c r="EDZ183" s="21"/>
      <c r="EEA183" s="21"/>
      <c r="EEB183" s="21"/>
      <c r="EEC183" s="21"/>
      <c r="EED183" s="21"/>
      <c r="EEE183" s="21"/>
      <c r="EEF183" s="21"/>
      <c r="EEG183" s="21"/>
      <c r="EEH183" s="21"/>
      <c r="EEI183" s="21"/>
      <c r="EEJ183" s="21"/>
      <c r="EEK183" s="21"/>
      <c r="EEL183" s="21"/>
      <c r="EEM183" s="21"/>
      <c r="EEN183" s="21"/>
      <c r="EEO183" s="21"/>
      <c r="EEP183" s="21"/>
      <c r="EEQ183" s="21"/>
      <c r="EER183" s="21"/>
      <c r="EES183" s="21"/>
      <c r="EET183" s="21"/>
      <c r="EEU183" s="21"/>
      <c r="EEV183" s="21"/>
      <c r="EEW183" s="21"/>
      <c r="EEX183" s="21"/>
      <c r="EEY183" s="21"/>
      <c r="EEZ183" s="21"/>
      <c r="EFA183" s="21"/>
      <c r="EFB183" s="21"/>
      <c r="EFC183" s="21"/>
      <c r="EFD183" s="21"/>
      <c r="EFE183" s="21"/>
      <c r="EFF183" s="21"/>
      <c r="EFG183" s="21"/>
      <c r="EFH183" s="21"/>
      <c r="EFI183" s="21"/>
      <c r="EFJ183" s="21"/>
      <c r="EFK183" s="21"/>
      <c r="EFL183" s="21"/>
      <c r="EFM183" s="21"/>
      <c r="EFN183" s="21"/>
      <c r="EFO183" s="21"/>
      <c r="EFP183" s="21"/>
      <c r="EFQ183" s="21"/>
      <c r="EFR183" s="21"/>
      <c r="EFS183" s="21"/>
      <c r="EFT183" s="21"/>
      <c r="EFU183" s="21"/>
      <c r="EFV183" s="21"/>
      <c r="EFW183" s="21"/>
      <c r="EFX183" s="21"/>
      <c r="EFY183" s="21"/>
      <c r="EFZ183" s="21"/>
      <c r="EGA183" s="21"/>
      <c r="EGB183" s="21"/>
      <c r="EGC183" s="21"/>
      <c r="EGD183" s="21"/>
      <c r="EGE183" s="21"/>
      <c r="EGF183" s="21"/>
      <c r="EGG183" s="21"/>
      <c r="EGH183" s="21"/>
      <c r="EGI183" s="21"/>
      <c r="EGJ183" s="21"/>
      <c r="EGK183" s="21"/>
      <c r="EGL183" s="21"/>
      <c r="EGM183" s="21"/>
      <c r="EGN183" s="21"/>
      <c r="EGO183" s="21"/>
      <c r="EGP183" s="21"/>
      <c r="EGQ183" s="21"/>
      <c r="EGR183" s="21"/>
      <c r="EGS183" s="21"/>
      <c r="EGT183" s="21"/>
      <c r="EGU183" s="21"/>
      <c r="EGV183" s="21"/>
      <c r="EGW183" s="21"/>
      <c r="EGX183" s="21"/>
      <c r="EGY183" s="21"/>
      <c r="EGZ183" s="21"/>
      <c r="EHA183" s="21"/>
      <c r="EHB183" s="21"/>
      <c r="EHC183" s="21"/>
      <c r="EHD183" s="21"/>
      <c r="EHE183" s="21"/>
      <c r="EHF183" s="21"/>
      <c r="EHG183" s="21"/>
      <c r="EHH183" s="21"/>
      <c r="EHI183" s="21"/>
      <c r="EHJ183" s="21"/>
      <c r="EHK183" s="21"/>
      <c r="EHL183" s="21"/>
      <c r="EHM183" s="21"/>
      <c r="EHN183" s="21"/>
      <c r="EHO183" s="21"/>
      <c r="EHP183" s="21"/>
      <c r="EHQ183" s="21"/>
      <c r="EHR183" s="21"/>
      <c r="EHS183" s="21"/>
      <c r="EHT183" s="21"/>
      <c r="EHU183" s="21"/>
      <c r="EHV183" s="21"/>
      <c r="EHW183" s="21"/>
      <c r="EHX183" s="21"/>
      <c r="EHY183" s="21"/>
      <c r="EHZ183" s="21"/>
      <c r="EIA183" s="21"/>
      <c r="EIB183" s="21"/>
      <c r="EIC183" s="21"/>
      <c r="EID183" s="21"/>
      <c r="EIE183" s="21"/>
      <c r="EIF183" s="21"/>
      <c r="EIG183" s="21"/>
      <c r="EIH183" s="21"/>
      <c r="EII183" s="21"/>
      <c r="EIJ183" s="21"/>
      <c r="EIK183" s="21"/>
      <c r="EIL183" s="21"/>
      <c r="EIM183" s="21"/>
      <c r="EIN183" s="21"/>
      <c r="EIO183" s="21"/>
      <c r="EIP183" s="21"/>
      <c r="EIQ183" s="21"/>
      <c r="EIR183" s="21"/>
      <c r="EIS183" s="21"/>
      <c r="EIT183" s="21"/>
      <c r="EIU183" s="21"/>
      <c r="EIV183" s="21"/>
      <c r="EIW183" s="21"/>
      <c r="EIX183" s="21"/>
      <c r="EIY183" s="21"/>
      <c r="EIZ183" s="21"/>
      <c r="EJA183" s="21"/>
      <c r="EJB183" s="21"/>
      <c r="EJC183" s="21"/>
      <c r="EJD183" s="21"/>
      <c r="EJE183" s="21"/>
      <c r="EJF183" s="21"/>
      <c r="EJG183" s="21"/>
      <c r="EJH183" s="21"/>
      <c r="EJI183" s="21"/>
      <c r="EJJ183" s="21"/>
      <c r="EJK183" s="21"/>
      <c r="EJL183" s="21"/>
      <c r="EJM183" s="21"/>
      <c r="EJN183" s="21"/>
      <c r="EJO183" s="21"/>
      <c r="EJP183" s="21"/>
      <c r="EJQ183" s="21"/>
      <c r="EJR183" s="21"/>
      <c r="EJS183" s="21"/>
      <c r="EJT183" s="21"/>
      <c r="EJU183" s="21"/>
      <c r="EJV183" s="21"/>
      <c r="EJW183" s="21"/>
      <c r="EJX183" s="21"/>
      <c r="EJY183" s="21"/>
      <c r="EJZ183" s="21"/>
      <c r="EKA183" s="21"/>
      <c r="EKB183" s="21"/>
      <c r="EKC183" s="21"/>
      <c r="EKD183" s="21"/>
      <c r="EKE183" s="21"/>
      <c r="EKF183" s="21"/>
      <c r="EKG183" s="21"/>
      <c r="EKH183" s="21"/>
      <c r="EKI183" s="21"/>
      <c r="EKJ183" s="21"/>
      <c r="EKK183" s="21"/>
      <c r="EKL183" s="21"/>
      <c r="EKM183" s="21"/>
      <c r="EKN183" s="21"/>
      <c r="EKO183" s="21"/>
      <c r="EKP183" s="21"/>
      <c r="EKQ183" s="21"/>
      <c r="EKR183" s="21"/>
      <c r="EKS183" s="21"/>
      <c r="EKT183" s="21"/>
      <c r="EKU183" s="21"/>
      <c r="EKV183" s="21"/>
      <c r="EKW183" s="21"/>
      <c r="EKX183" s="21"/>
      <c r="EKY183" s="21"/>
      <c r="EKZ183" s="21"/>
      <c r="ELA183" s="21"/>
      <c r="ELB183" s="21"/>
      <c r="ELC183" s="21"/>
      <c r="ELD183" s="21"/>
      <c r="ELE183" s="21"/>
      <c r="ELF183" s="21"/>
      <c r="ELG183" s="21"/>
      <c r="ELH183" s="21"/>
      <c r="ELI183" s="21"/>
      <c r="ELJ183" s="21"/>
      <c r="ELK183" s="21"/>
      <c r="ELL183" s="21"/>
      <c r="ELM183" s="21"/>
      <c r="ELN183" s="21"/>
      <c r="ELO183" s="21"/>
      <c r="ELP183" s="21"/>
      <c r="ELQ183" s="21"/>
      <c r="ELR183" s="21"/>
      <c r="ELS183" s="21"/>
      <c r="ELT183" s="21"/>
      <c r="ELU183" s="21"/>
      <c r="ELV183" s="21"/>
      <c r="ELW183" s="21"/>
      <c r="ELX183" s="21"/>
      <c r="ELY183" s="21"/>
      <c r="ELZ183" s="21"/>
      <c r="EMA183" s="21"/>
      <c r="EMB183" s="21"/>
      <c r="EMC183" s="21"/>
      <c r="EMD183" s="21"/>
      <c r="EME183" s="21"/>
      <c r="EMF183" s="21"/>
      <c r="EMG183" s="21"/>
      <c r="EMH183" s="21"/>
      <c r="EMI183" s="21"/>
      <c r="EMJ183" s="21"/>
      <c r="EMK183" s="21"/>
      <c r="EML183" s="21"/>
      <c r="EMM183" s="21"/>
      <c r="EMN183" s="21"/>
      <c r="EMO183" s="21"/>
      <c r="EMP183" s="21"/>
      <c r="EMQ183" s="21"/>
      <c r="EMR183" s="21"/>
      <c r="EMS183" s="21"/>
      <c r="EMT183" s="21"/>
      <c r="EMU183" s="21"/>
      <c r="EMV183" s="21"/>
      <c r="EMW183" s="21"/>
      <c r="EMX183" s="21"/>
      <c r="EMY183" s="21"/>
      <c r="EMZ183" s="21"/>
      <c r="ENA183" s="21"/>
      <c r="ENB183" s="21"/>
      <c r="ENC183" s="21"/>
      <c r="END183" s="21"/>
      <c r="ENE183" s="21"/>
      <c r="ENF183" s="21"/>
      <c r="ENG183" s="21"/>
      <c r="ENH183" s="21"/>
      <c r="ENI183" s="21"/>
      <c r="ENJ183" s="21"/>
      <c r="ENK183" s="21"/>
      <c r="ENL183" s="21"/>
      <c r="ENM183" s="21"/>
      <c r="ENN183" s="21"/>
      <c r="ENO183" s="21"/>
      <c r="ENP183" s="21"/>
      <c r="ENQ183" s="21"/>
      <c r="ENR183" s="21"/>
      <c r="ENS183" s="21"/>
      <c r="ENT183" s="21"/>
      <c r="ENU183" s="21"/>
      <c r="ENV183" s="21"/>
      <c r="ENW183" s="21"/>
      <c r="ENX183" s="21"/>
      <c r="ENY183" s="21"/>
      <c r="ENZ183" s="21"/>
      <c r="EOA183" s="21"/>
      <c r="EOB183" s="21"/>
      <c r="EOC183" s="21"/>
      <c r="EOD183" s="21"/>
      <c r="EOE183" s="21"/>
      <c r="EOF183" s="21"/>
      <c r="EOG183" s="21"/>
      <c r="EOH183" s="21"/>
      <c r="EOI183" s="21"/>
      <c r="EOJ183" s="21"/>
      <c r="EOK183" s="21"/>
      <c r="EOL183" s="21"/>
      <c r="EOM183" s="21"/>
      <c r="EON183" s="21"/>
      <c r="EOO183" s="21"/>
      <c r="EOP183" s="21"/>
      <c r="EOQ183" s="21"/>
      <c r="EOR183" s="21"/>
      <c r="EOS183" s="21"/>
      <c r="EOT183" s="21"/>
      <c r="EOU183" s="21"/>
      <c r="EOV183" s="21"/>
      <c r="EOW183" s="21"/>
      <c r="EOX183" s="21"/>
      <c r="EOY183" s="21"/>
      <c r="EOZ183" s="21"/>
      <c r="EPA183" s="21"/>
      <c r="EPB183" s="21"/>
      <c r="EPC183" s="21"/>
      <c r="EPD183" s="21"/>
      <c r="EPE183" s="21"/>
      <c r="EPF183" s="21"/>
      <c r="EPG183" s="21"/>
      <c r="EPH183" s="21"/>
      <c r="EPI183" s="21"/>
      <c r="EPJ183" s="21"/>
      <c r="EPK183" s="21"/>
      <c r="EPL183" s="21"/>
      <c r="EPM183" s="21"/>
      <c r="EPN183" s="21"/>
      <c r="EPO183" s="21"/>
      <c r="EPP183" s="21"/>
      <c r="EPQ183" s="21"/>
      <c r="EPR183" s="21"/>
      <c r="EPS183" s="21"/>
      <c r="EPT183" s="21"/>
      <c r="EPU183" s="21"/>
      <c r="EPV183" s="21"/>
      <c r="EPW183" s="21"/>
      <c r="EPX183" s="21"/>
      <c r="EPY183" s="21"/>
      <c r="EPZ183" s="21"/>
      <c r="EQA183" s="21"/>
      <c r="EQB183" s="21"/>
      <c r="EQC183" s="21"/>
      <c r="EQD183" s="21"/>
      <c r="EQE183" s="21"/>
      <c r="EQF183" s="21"/>
      <c r="EQG183" s="21"/>
      <c r="EQH183" s="21"/>
      <c r="EQI183" s="21"/>
      <c r="EQJ183" s="21"/>
      <c r="EQK183" s="21"/>
      <c r="EQL183" s="21"/>
      <c r="EQM183" s="21"/>
      <c r="EQN183" s="21"/>
      <c r="EQO183" s="21"/>
      <c r="EQP183" s="21"/>
      <c r="EQQ183" s="21"/>
      <c r="EQR183" s="21"/>
      <c r="EQS183" s="21"/>
      <c r="EQT183" s="21"/>
      <c r="EQU183" s="21"/>
      <c r="EQV183" s="21"/>
      <c r="EQW183" s="21"/>
      <c r="EQX183" s="21"/>
      <c r="EQY183" s="21"/>
      <c r="EQZ183" s="21"/>
      <c r="ERA183" s="21"/>
      <c r="ERB183" s="21"/>
      <c r="ERC183" s="21"/>
      <c r="ERD183" s="21"/>
      <c r="ERE183" s="21"/>
      <c r="ERF183" s="21"/>
      <c r="ERG183" s="21"/>
      <c r="ERH183" s="21"/>
      <c r="ERI183" s="21"/>
      <c r="ERJ183" s="21"/>
      <c r="ERK183" s="21"/>
      <c r="ERL183" s="21"/>
      <c r="ERM183" s="21"/>
      <c r="ERN183" s="21"/>
      <c r="ERO183" s="21"/>
      <c r="ERP183" s="21"/>
      <c r="ERQ183" s="21"/>
      <c r="ERR183" s="21"/>
      <c r="ERS183" s="21"/>
      <c r="ERT183" s="21"/>
      <c r="ERU183" s="21"/>
      <c r="ERV183" s="21"/>
      <c r="ERW183" s="21"/>
      <c r="ERX183" s="21"/>
      <c r="ERY183" s="21"/>
      <c r="ERZ183" s="21"/>
      <c r="ESA183" s="21"/>
      <c r="ESB183" s="21"/>
      <c r="ESC183" s="21"/>
      <c r="ESD183" s="21"/>
      <c r="ESE183" s="21"/>
      <c r="ESF183" s="21"/>
      <c r="ESG183" s="21"/>
      <c r="ESH183" s="21"/>
      <c r="ESI183" s="21"/>
      <c r="ESJ183" s="21"/>
      <c r="ESK183" s="21"/>
      <c r="ESL183" s="21"/>
      <c r="ESM183" s="21"/>
      <c r="ESN183" s="21"/>
      <c r="ESO183" s="21"/>
      <c r="ESP183" s="21"/>
      <c r="ESQ183" s="21"/>
      <c r="ESR183" s="21"/>
      <c r="ESS183" s="21"/>
      <c r="EST183" s="21"/>
      <c r="ESU183" s="21"/>
      <c r="ESV183" s="21"/>
      <c r="ESW183" s="21"/>
      <c r="ESX183" s="21"/>
      <c r="ESY183" s="21"/>
      <c r="ESZ183" s="21"/>
      <c r="ETA183" s="21"/>
      <c r="ETB183" s="21"/>
      <c r="ETC183" s="21"/>
      <c r="ETD183" s="21"/>
      <c r="ETE183" s="21"/>
      <c r="ETF183" s="21"/>
      <c r="ETG183" s="21"/>
      <c r="ETH183" s="21"/>
      <c r="ETI183" s="21"/>
      <c r="ETJ183" s="21"/>
      <c r="ETK183" s="21"/>
      <c r="ETL183" s="21"/>
      <c r="ETM183" s="21"/>
      <c r="ETN183" s="21"/>
      <c r="ETO183" s="21"/>
      <c r="ETP183" s="21"/>
      <c r="ETQ183" s="21"/>
      <c r="ETR183" s="21"/>
      <c r="ETS183" s="21"/>
      <c r="ETT183" s="21"/>
      <c r="ETU183" s="21"/>
      <c r="ETV183" s="21"/>
      <c r="ETW183" s="21"/>
      <c r="ETX183" s="21"/>
      <c r="ETY183" s="21"/>
      <c r="ETZ183" s="21"/>
      <c r="EUA183" s="21"/>
      <c r="EUB183" s="21"/>
      <c r="EUC183" s="21"/>
      <c r="EUD183" s="21"/>
      <c r="EUE183" s="21"/>
      <c r="EUF183" s="21"/>
      <c r="EUG183" s="21"/>
      <c r="EUH183" s="21"/>
      <c r="EUI183" s="21"/>
      <c r="EUJ183" s="21"/>
      <c r="EUK183" s="21"/>
      <c r="EUL183" s="21"/>
      <c r="EUM183" s="21"/>
      <c r="EUN183" s="21"/>
      <c r="EUO183" s="21"/>
      <c r="EUP183" s="21"/>
      <c r="EUQ183" s="21"/>
      <c r="EUR183" s="21"/>
      <c r="EUS183" s="21"/>
      <c r="EUT183" s="21"/>
      <c r="EUU183" s="21"/>
      <c r="EUV183" s="21"/>
      <c r="EUW183" s="21"/>
      <c r="EUX183" s="21"/>
      <c r="EUY183" s="21"/>
      <c r="EUZ183" s="21"/>
      <c r="EVA183" s="21"/>
      <c r="EVB183" s="21"/>
      <c r="EVC183" s="21"/>
      <c r="EVD183" s="21"/>
      <c r="EVE183" s="21"/>
      <c r="EVF183" s="21"/>
      <c r="EVG183" s="21"/>
      <c r="EVH183" s="21"/>
      <c r="EVI183" s="21"/>
      <c r="EVJ183" s="21"/>
      <c r="EVK183" s="21"/>
      <c r="EVL183" s="21"/>
      <c r="EVM183" s="21"/>
      <c r="EVN183" s="21"/>
      <c r="EVO183" s="21"/>
      <c r="EVP183" s="21"/>
      <c r="EVQ183" s="21"/>
      <c r="EVR183" s="21"/>
      <c r="EVS183" s="21"/>
      <c r="EVT183" s="21"/>
      <c r="EVU183" s="21"/>
      <c r="EVV183" s="21"/>
      <c r="EVW183" s="21"/>
      <c r="EVX183" s="21"/>
      <c r="EVY183" s="21"/>
      <c r="EVZ183" s="21"/>
      <c r="EWA183" s="21"/>
      <c r="EWB183" s="21"/>
      <c r="EWC183" s="21"/>
      <c r="EWD183" s="21"/>
      <c r="EWE183" s="21"/>
      <c r="EWF183" s="21"/>
      <c r="EWG183" s="21"/>
      <c r="EWH183" s="21"/>
      <c r="EWI183" s="21"/>
      <c r="EWJ183" s="21"/>
      <c r="EWK183" s="21"/>
      <c r="EWL183" s="21"/>
      <c r="EWM183" s="21"/>
      <c r="EWN183" s="21"/>
      <c r="EWO183" s="21"/>
      <c r="EWP183" s="21"/>
      <c r="EWQ183" s="21"/>
      <c r="EWR183" s="21"/>
      <c r="EWS183" s="21"/>
      <c r="EWT183" s="21"/>
      <c r="EWU183" s="21"/>
      <c r="EWV183" s="21"/>
      <c r="EWW183" s="21"/>
      <c r="EWX183" s="21"/>
      <c r="EWY183" s="21"/>
      <c r="EWZ183" s="21"/>
      <c r="EXA183" s="21"/>
      <c r="EXB183" s="21"/>
      <c r="EXC183" s="21"/>
      <c r="EXD183" s="21"/>
      <c r="EXE183" s="21"/>
      <c r="EXF183" s="21"/>
      <c r="EXG183" s="21"/>
      <c r="EXH183" s="21"/>
      <c r="EXI183" s="21"/>
      <c r="EXJ183" s="21"/>
      <c r="EXK183" s="21"/>
      <c r="EXL183" s="21"/>
      <c r="EXM183" s="21"/>
      <c r="EXN183" s="21"/>
      <c r="EXO183" s="21"/>
      <c r="EXP183" s="21"/>
      <c r="EXQ183" s="21"/>
      <c r="EXR183" s="21"/>
      <c r="EXS183" s="21"/>
      <c r="EXT183" s="21"/>
      <c r="EXU183" s="21"/>
      <c r="EXV183" s="21"/>
      <c r="EXW183" s="21"/>
      <c r="EXX183" s="21"/>
      <c r="EXY183" s="21"/>
      <c r="EXZ183" s="21"/>
      <c r="EYA183" s="21"/>
      <c r="EYB183" s="21"/>
      <c r="EYC183" s="21"/>
      <c r="EYD183" s="21"/>
      <c r="EYE183" s="21"/>
      <c r="EYF183" s="21"/>
      <c r="EYG183" s="21"/>
      <c r="EYH183" s="21"/>
      <c r="EYI183" s="21"/>
      <c r="EYJ183" s="21"/>
      <c r="EYK183" s="21"/>
      <c r="EYL183" s="21"/>
      <c r="EYM183" s="21"/>
      <c r="EYN183" s="21"/>
      <c r="EYO183" s="21"/>
      <c r="EYP183" s="21"/>
      <c r="EYQ183" s="21"/>
      <c r="EYR183" s="21"/>
      <c r="EYS183" s="21"/>
      <c r="EYT183" s="21"/>
      <c r="EYU183" s="21"/>
      <c r="EYV183" s="21"/>
      <c r="EYW183" s="21"/>
      <c r="EYX183" s="21"/>
      <c r="EYY183" s="21"/>
      <c r="EYZ183" s="21"/>
      <c r="EZA183" s="21"/>
      <c r="EZB183" s="21"/>
      <c r="EZC183" s="21"/>
      <c r="EZD183" s="21"/>
      <c r="EZE183" s="21"/>
      <c r="EZF183" s="21"/>
      <c r="EZG183" s="21"/>
      <c r="EZH183" s="21"/>
      <c r="EZI183" s="21"/>
      <c r="EZJ183" s="21"/>
      <c r="EZK183" s="21"/>
      <c r="EZL183" s="21"/>
      <c r="EZM183" s="21"/>
      <c r="EZN183" s="21"/>
      <c r="EZO183" s="21"/>
      <c r="EZP183" s="21"/>
      <c r="EZQ183" s="21"/>
      <c r="EZR183" s="21"/>
      <c r="EZS183" s="21"/>
      <c r="EZT183" s="21"/>
      <c r="EZU183" s="21"/>
      <c r="EZV183" s="21"/>
      <c r="EZW183" s="21"/>
      <c r="EZX183" s="21"/>
      <c r="EZY183" s="21"/>
      <c r="EZZ183" s="21"/>
      <c r="FAA183" s="21"/>
      <c r="FAB183" s="21"/>
      <c r="FAC183" s="21"/>
      <c r="FAD183" s="21"/>
      <c r="FAE183" s="21"/>
      <c r="FAF183" s="21"/>
      <c r="FAG183" s="21"/>
      <c r="FAH183" s="21"/>
      <c r="FAI183" s="21"/>
      <c r="FAJ183" s="21"/>
      <c r="FAK183" s="21"/>
      <c r="FAL183" s="21"/>
      <c r="FAM183" s="21"/>
      <c r="FAN183" s="21"/>
      <c r="FAO183" s="21"/>
      <c r="FAP183" s="21"/>
      <c r="FAQ183" s="21"/>
      <c r="FAR183" s="21"/>
      <c r="FAS183" s="21"/>
      <c r="FAT183" s="21"/>
      <c r="FAU183" s="21"/>
      <c r="FAV183" s="21"/>
      <c r="FAW183" s="21"/>
      <c r="FAX183" s="21"/>
      <c r="FAY183" s="21"/>
      <c r="FAZ183" s="21"/>
      <c r="FBA183" s="21"/>
      <c r="FBB183" s="21"/>
      <c r="FBC183" s="21"/>
      <c r="FBD183" s="21"/>
      <c r="FBE183" s="21"/>
      <c r="FBF183" s="21"/>
      <c r="FBG183" s="21"/>
      <c r="FBH183" s="21"/>
      <c r="FBI183" s="21"/>
      <c r="FBJ183" s="21"/>
      <c r="FBK183" s="21"/>
      <c r="FBL183" s="21"/>
      <c r="FBM183" s="21"/>
      <c r="FBN183" s="21"/>
      <c r="FBO183" s="21"/>
      <c r="FBP183" s="21"/>
      <c r="FBQ183" s="21"/>
      <c r="FBR183" s="21"/>
      <c r="FBS183" s="21"/>
      <c r="FBT183" s="21"/>
      <c r="FBU183" s="21"/>
      <c r="FBV183" s="21"/>
      <c r="FBW183" s="21"/>
      <c r="FBX183" s="21"/>
      <c r="FBY183" s="21"/>
      <c r="FBZ183" s="21"/>
      <c r="FCA183" s="21"/>
      <c r="FCB183" s="21"/>
      <c r="FCC183" s="21"/>
      <c r="FCD183" s="21"/>
      <c r="FCE183" s="21"/>
      <c r="FCF183" s="21"/>
      <c r="FCG183" s="21"/>
      <c r="FCH183" s="21"/>
      <c r="FCI183" s="21"/>
      <c r="FCJ183" s="21"/>
      <c r="FCK183" s="21"/>
      <c r="FCL183" s="21"/>
      <c r="FCM183" s="21"/>
      <c r="FCN183" s="21"/>
      <c r="FCO183" s="21"/>
      <c r="FCP183" s="21"/>
      <c r="FCQ183" s="21"/>
      <c r="FCR183" s="21"/>
      <c r="FCS183" s="21"/>
      <c r="FCT183" s="21"/>
      <c r="FCU183" s="21"/>
      <c r="FCV183" s="21"/>
      <c r="FCW183" s="21"/>
      <c r="FCX183" s="21"/>
      <c r="FCY183" s="21"/>
      <c r="FCZ183" s="21"/>
      <c r="FDA183" s="21"/>
      <c r="FDB183" s="21"/>
      <c r="FDC183" s="21"/>
      <c r="FDD183" s="21"/>
      <c r="FDE183" s="21"/>
      <c r="FDF183" s="21"/>
      <c r="FDG183" s="21"/>
      <c r="FDH183" s="21"/>
      <c r="FDI183" s="21"/>
      <c r="FDJ183" s="21"/>
      <c r="FDK183" s="21"/>
      <c r="FDL183" s="21"/>
      <c r="FDM183" s="21"/>
      <c r="FDN183" s="21"/>
      <c r="FDO183" s="21"/>
      <c r="FDP183" s="21"/>
      <c r="FDQ183" s="21"/>
      <c r="FDR183" s="21"/>
      <c r="FDS183" s="21"/>
      <c r="FDT183" s="21"/>
      <c r="FDU183" s="21"/>
      <c r="FDV183" s="21"/>
      <c r="FDW183" s="21"/>
      <c r="FDX183" s="21"/>
      <c r="FDY183" s="21"/>
      <c r="FDZ183" s="21"/>
      <c r="FEA183" s="21"/>
      <c r="FEB183" s="21"/>
      <c r="FEC183" s="21"/>
      <c r="FED183" s="21"/>
      <c r="FEE183" s="21"/>
      <c r="FEF183" s="21"/>
      <c r="FEG183" s="21"/>
      <c r="FEH183" s="21"/>
      <c r="FEI183" s="21"/>
      <c r="FEJ183" s="21"/>
      <c r="FEK183" s="21"/>
      <c r="FEL183" s="21"/>
      <c r="FEM183" s="21"/>
      <c r="FEN183" s="21"/>
      <c r="FEO183" s="21"/>
      <c r="FEP183" s="21"/>
      <c r="FEQ183" s="21"/>
      <c r="FER183" s="21"/>
      <c r="FES183" s="21"/>
      <c r="FET183" s="21"/>
      <c r="FEU183" s="21"/>
      <c r="FEV183" s="21"/>
      <c r="FEW183" s="21"/>
      <c r="FEX183" s="21"/>
      <c r="FEY183" s="21"/>
      <c r="FEZ183" s="21"/>
      <c r="FFA183" s="21"/>
      <c r="FFB183" s="21"/>
      <c r="FFC183" s="21"/>
      <c r="FFD183" s="21"/>
      <c r="FFE183" s="21"/>
      <c r="FFF183" s="21"/>
      <c r="FFG183" s="21"/>
      <c r="FFH183" s="21"/>
      <c r="FFI183" s="21"/>
      <c r="FFJ183" s="21"/>
      <c r="FFK183" s="21"/>
      <c r="FFL183" s="21"/>
      <c r="FFM183" s="21"/>
      <c r="FFN183" s="21"/>
      <c r="FFO183" s="21"/>
      <c r="FFP183" s="21"/>
      <c r="FFQ183" s="21"/>
      <c r="FFR183" s="21"/>
      <c r="FFS183" s="21"/>
      <c r="FFT183" s="21"/>
      <c r="FFU183" s="21"/>
      <c r="FFV183" s="21"/>
      <c r="FFW183" s="21"/>
      <c r="FFX183" s="21"/>
      <c r="FFY183" s="21"/>
      <c r="FFZ183" s="21"/>
      <c r="FGA183" s="21"/>
      <c r="FGB183" s="21"/>
      <c r="FGC183" s="21"/>
      <c r="FGD183" s="21"/>
      <c r="FGE183" s="21"/>
      <c r="FGF183" s="21"/>
      <c r="FGG183" s="21"/>
      <c r="FGH183" s="21"/>
      <c r="FGI183" s="21"/>
      <c r="FGJ183" s="21"/>
      <c r="FGK183" s="21"/>
      <c r="FGL183" s="21"/>
      <c r="FGM183" s="21"/>
      <c r="FGN183" s="21"/>
      <c r="FGO183" s="21"/>
      <c r="FGP183" s="21"/>
      <c r="FGQ183" s="21"/>
      <c r="FGR183" s="21"/>
      <c r="FGS183" s="21"/>
      <c r="FGT183" s="21"/>
      <c r="FGU183" s="21"/>
      <c r="FGV183" s="21"/>
      <c r="FGW183" s="21"/>
      <c r="FGX183" s="21"/>
      <c r="FGY183" s="21"/>
      <c r="FGZ183" s="21"/>
      <c r="FHA183" s="21"/>
      <c r="FHB183" s="21"/>
      <c r="FHC183" s="21"/>
      <c r="FHD183" s="21"/>
      <c r="FHE183" s="21"/>
      <c r="FHF183" s="21"/>
      <c r="FHG183" s="21"/>
      <c r="FHH183" s="21"/>
      <c r="FHI183" s="21"/>
      <c r="FHJ183" s="21"/>
      <c r="FHK183" s="21"/>
      <c r="FHL183" s="21"/>
      <c r="FHM183" s="21"/>
      <c r="FHN183" s="21"/>
      <c r="FHO183" s="21"/>
      <c r="FHP183" s="21"/>
      <c r="FHQ183" s="21"/>
      <c r="FHR183" s="21"/>
      <c r="FHS183" s="21"/>
      <c r="FHT183" s="21"/>
      <c r="FHU183" s="21"/>
      <c r="FHV183" s="21"/>
      <c r="FHW183" s="21"/>
      <c r="FHX183" s="21"/>
      <c r="FHY183" s="21"/>
      <c r="FHZ183" s="21"/>
      <c r="FIA183" s="21"/>
      <c r="FIB183" s="21"/>
      <c r="FIC183" s="21"/>
      <c r="FID183" s="21"/>
      <c r="FIE183" s="21"/>
      <c r="FIF183" s="21"/>
      <c r="FIG183" s="21"/>
      <c r="FIH183" s="21"/>
      <c r="FII183" s="21"/>
      <c r="FIJ183" s="21"/>
      <c r="FIK183" s="21"/>
      <c r="FIL183" s="21"/>
      <c r="FIM183" s="21"/>
      <c r="FIN183" s="21"/>
      <c r="FIO183" s="21"/>
      <c r="FIP183" s="21"/>
      <c r="FIQ183" s="21"/>
      <c r="FIR183" s="21"/>
      <c r="FIS183" s="21"/>
      <c r="FIT183" s="21"/>
      <c r="FIU183" s="21"/>
      <c r="FIV183" s="21"/>
      <c r="FIW183" s="21"/>
      <c r="FIX183" s="21"/>
      <c r="FIY183" s="21"/>
      <c r="FIZ183" s="21"/>
      <c r="FJA183" s="21"/>
      <c r="FJB183" s="21"/>
      <c r="FJC183" s="21"/>
      <c r="FJD183" s="21"/>
      <c r="FJE183" s="21"/>
      <c r="FJF183" s="21"/>
      <c r="FJG183" s="21"/>
      <c r="FJH183" s="21"/>
      <c r="FJI183" s="21"/>
      <c r="FJJ183" s="21"/>
      <c r="FJK183" s="21"/>
      <c r="FJL183" s="21"/>
      <c r="FJM183" s="21"/>
      <c r="FJN183" s="21"/>
      <c r="FJO183" s="21"/>
      <c r="FJP183" s="21"/>
      <c r="FJQ183" s="21"/>
      <c r="FJR183" s="21"/>
      <c r="FJS183" s="21"/>
      <c r="FJT183" s="21"/>
      <c r="FJU183" s="21"/>
      <c r="FJV183" s="21"/>
      <c r="FJW183" s="21"/>
      <c r="FJX183" s="21"/>
      <c r="FJY183" s="21"/>
      <c r="FJZ183" s="21"/>
      <c r="FKA183" s="21"/>
      <c r="FKB183" s="21"/>
      <c r="FKC183" s="21"/>
      <c r="FKD183" s="21"/>
      <c r="FKE183" s="21"/>
      <c r="FKF183" s="21"/>
      <c r="FKG183" s="21"/>
      <c r="FKH183" s="21"/>
      <c r="FKI183" s="21"/>
      <c r="FKJ183" s="21"/>
      <c r="FKK183" s="21"/>
      <c r="FKL183" s="21"/>
      <c r="FKM183" s="21"/>
      <c r="FKN183" s="21"/>
      <c r="FKO183" s="21"/>
      <c r="FKP183" s="21"/>
      <c r="FKQ183" s="21"/>
      <c r="FKR183" s="21"/>
      <c r="FKS183" s="21"/>
      <c r="FKT183" s="21"/>
      <c r="FKU183" s="21"/>
      <c r="FKV183" s="21"/>
      <c r="FKW183" s="21"/>
      <c r="FKX183" s="21"/>
      <c r="FKY183" s="21"/>
      <c r="FKZ183" s="21"/>
      <c r="FLA183" s="21"/>
      <c r="FLB183" s="21"/>
      <c r="FLC183" s="21"/>
      <c r="FLD183" s="21"/>
      <c r="FLE183" s="21"/>
      <c r="FLF183" s="21"/>
      <c r="FLG183" s="21"/>
      <c r="FLH183" s="21"/>
      <c r="FLI183" s="21"/>
      <c r="FLJ183" s="21"/>
      <c r="FLK183" s="21"/>
      <c r="FLL183" s="21"/>
      <c r="FLM183" s="21"/>
      <c r="FLN183" s="21"/>
      <c r="FLO183" s="21"/>
      <c r="FLP183" s="21"/>
      <c r="FLQ183" s="21"/>
      <c r="FLR183" s="21"/>
      <c r="FLS183" s="21"/>
      <c r="FLT183" s="21"/>
      <c r="FLU183" s="21"/>
      <c r="FLV183" s="21"/>
      <c r="FLW183" s="21"/>
      <c r="FLX183" s="21"/>
      <c r="FLY183" s="21"/>
      <c r="FLZ183" s="21"/>
      <c r="FMA183" s="21"/>
      <c r="FMB183" s="21"/>
      <c r="FMC183" s="21"/>
      <c r="FMD183" s="21"/>
      <c r="FME183" s="21"/>
      <c r="FMF183" s="21"/>
      <c r="FMG183" s="21"/>
      <c r="FMH183" s="21"/>
      <c r="FMI183" s="21"/>
      <c r="FMJ183" s="21"/>
      <c r="FMK183" s="21"/>
      <c r="FML183" s="21"/>
      <c r="FMM183" s="21"/>
      <c r="FMN183" s="21"/>
      <c r="FMO183" s="21"/>
      <c r="FMP183" s="21"/>
      <c r="FMQ183" s="21"/>
      <c r="FMR183" s="21"/>
      <c r="FMS183" s="21"/>
      <c r="FMT183" s="21"/>
      <c r="FMU183" s="21"/>
      <c r="FMV183" s="21"/>
      <c r="FMW183" s="21"/>
      <c r="FMX183" s="21"/>
      <c r="FMY183" s="21"/>
      <c r="FMZ183" s="21"/>
      <c r="FNA183" s="21"/>
      <c r="FNB183" s="21"/>
      <c r="FNC183" s="21"/>
      <c r="FND183" s="21"/>
      <c r="FNE183" s="21"/>
      <c r="FNF183" s="21"/>
      <c r="FNG183" s="21"/>
      <c r="FNH183" s="21"/>
      <c r="FNI183" s="21"/>
      <c r="FNJ183" s="21"/>
      <c r="FNK183" s="21"/>
      <c r="FNL183" s="21"/>
      <c r="FNM183" s="21"/>
      <c r="FNN183" s="21"/>
      <c r="FNO183" s="21"/>
      <c r="FNP183" s="21"/>
      <c r="FNQ183" s="21"/>
      <c r="FNR183" s="21"/>
      <c r="FNS183" s="21"/>
      <c r="FNT183" s="21"/>
      <c r="FNU183" s="21"/>
      <c r="FNV183" s="21"/>
      <c r="FNW183" s="21"/>
      <c r="FNX183" s="21"/>
      <c r="FNY183" s="21"/>
      <c r="FNZ183" s="21"/>
      <c r="FOA183" s="21"/>
      <c r="FOB183" s="21"/>
      <c r="FOC183" s="21"/>
      <c r="FOD183" s="21"/>
      <c r="FOE183" s="21"/>
      <c r="FOF183" s="21"/>
      <c r="FOG183" s="21"/>
      <c r="FOH183" s="21"/>
      <c r="FOI183" s="21"/>
      <c r="FOJ183" s="21"/>
      <c r="FOK183" s="21"/>
      <c r="FOL183" s="21"/>
      <c r="FOM183" s="21"/>
      <c r="FON183" s="21"/>
      <c r="FOO183" s="21"/>
      <c r="FOP183" s="21"/>
      <c r="FOQ183" s="21"/>
      <c r="FOR183" s="21"/>
      <c r="FOS183" s="21"/>
      <c r="FOT183" s="21"/>
      <c r="FOU183" s="21"/>
      <c r="FOV183" s="21"/>
      <c r="FOW183" s="21"/>
      <c r="FOX183" s="21"/>
      <c r="FOY183" s="21"/>
      <c r="FOZ183" s="21"/>
      <c r="FPA183" s="21"/>
      <c r="FPB183" s="21"/>
      <c r="FPC183" s="21"/>
      <c r="FPD183" s="21"/>
      <c r="FPE183" s="21"/>
      <c r="FPF183" s="21"/>
      <c r="FPG183" s="21"/>
      <c r="FPH183" s="21"/>
      <c r="FPI183" s="21"/>
      <c r="FPJ183" s="21"/>
      <c r="FPK183" s="21"/>
      <c r="FPL183" s="21"/>
      <c r="FPM183" s="21"/>
      <c r="FPN183" s="21"/>
      <c r="FPO183" s="21"/>
      <c r="FPP183" s="21"/>
      <c r="FPQ183" s="21"/>
      <c r="FPR183" s="21"/>
      <c r="FPS183" s="21"/>
      <c r="FPT183" s="21"/>
      <c r="FPU183" s="21"/>
      <c r="FPV183" s="21"/>
      <c r="FPW183" s="21"/>
      <c r="FPX183" s="21"/>
      <c r="FPY183" s="21"/>
      <c r="FPZ183" s="21"/>
      <c r="FQA183" s="21"/>
      <c r="FQB183" s="21"/>
      <c r="FQC183" s="21"/>
      <c r="FQD183" s="21"/>
      <c r="FQE183" s="21"/>
      <c r="FQF183" s="21"/>
      <c r="FQG183" s="21"/>
      <c r="FQH183" s="21"/>
      <c r="FQI183" s="21"/>
      <c r="FQJ183" s="21"/>
      <c r="FQK183" s="21"/>
      <c r="FQL183" s="21"/>
      <c r="FQM183" s="21"/>
      <c r="FQN183" s="21"/>
      <c r="FQO183" s="21"/>
      <c r="FQP183" s="21"/>
      <c r="FQQ183" s="21"/>
      <c r="FQR183" s="21"/>
      <c r="FQS183" s="21"/>
      <c r="FQT183" s="21"/>
      <c r="FQU183" s="21"/>
      <c r="FQV183" s="21"/>
      <c r="FQW183" s="21"/>
      <c r="FQX183" s="21"/>
      <c r="FQY183" s="21"/>
      <c r="FQZ183" s="21"/>
      <c r="FRA183" s="21"/>
      <c r="FRB183" s="21"/>
      <c r="FRC183" s="21"/>
      <c r="FRD183" s="21"/>
      <c r="FRE183" s="21"/>
      <c r="FRF183" s="21"/>
      <c r="FRG183" s="21"/>
      <c r="FRH183" s="21"/>
      <c r="FRI183" s="21"/>
      <c r="FRJ183" s="21"/>
      <c r="FRK183" s="21"/>
      <c r="FRL183" s="21"/>
      <c r="FRM183" s="21"/>
      <c r="FRN183" s="21"/>
      <c r="FRO183" s="21"/>
      <c r="FRP183" s="21"/>
      <c r="FRQ183" s="21"/>
      <c r="FRR183" s="21"/>
      <c r="FRS183" s="21"/>
      <c r="FRT183" s="21"/>
      <c r="FRU183" s="21"/>
      <c r="FRV183" s="21"/>
      <c r="FRW183" s="21"/>
      <c r="FRX183" s="21"/>
      <c r="FRY183" s="21"/>
      <c r="FRZ183" s="21"/>
      <c r="FSA183" s="21"/>
      <c r="FSB183" s="21"/>
      <c r="FSC183" s="21"/>
      <c r="FSD183" s="21"/>
      <c r="FSE183" s="21"/>
      <c r="FSF183" s="21"/>
      <c r="FSG183" s="21"/>
      <c r="FSH183" s="21"/>
      <c r="FSI183" s="21"/>
      <c r="FSJ183" s="21"/>
      <c r="FSK183" s="21"/>
      <c r="FSL183" s="21"/>
      <c r="FSM183" s="21"/>
      <c r="FSN183" s="21"/>
      <c r="FSO183" s="21"/>
      <c r="FSP183" s="21"/>
      <c r="FSQ183" s="21"/>
      <c r="FSR183" s="21"/>
      <c r="FSS183" s="21"/>
      <c r="FST183" s="21"/>
      <c r="FSU183" s="21"/>
      <c r="FSV183" s="21"/>
      <c r="FSW183" s="21"/>
      <c r="FSX183" s="21"/>
      <c r="FSY183" s="21"/>
      <c r="FSZ183" s="21"/>
      <c r="FTA183" s="21"/>
      <c r="FTB183" s="21"/>
      <c r="FTC183" s="21"/>
      <c r="FTD183" s="21"/>
      <c r="FTE183" s="21"/>
      <c r="FTF183" s="21"/>
      <c r="FTG183" s="21"/>
      <c r="FTH183" s="21"/>
      <c r="FTI183" s="21"/>
      <c r="FTJ183" s="21"/>
      <c r="FTK183" s="21"/>
      <c r="FTL183" s="21"/>
      <c r="FTM183" s="21"/>
      <c r="FTN183" s="21"/>
      <c r="FTO183" s="21"/>
      <c r="FTP183" s="21"/>
      <c r="FTQ183" s="21"/>
      <c r="FTR183" s="21"/>
      <c r="FTS183" s="21"/>
      <c r="FTT183" s="21"/>
      <c r="FTU183" s="21"/>
      <c r="FTV183" s="21"/>
      <c r="FTW183" s="21"/>
      <c r="FTX183" s="21"/>
      <c r="FTY183" s="21"/>
      <c r="FTZ183" s="21"/>
      <c r="FUA183" s="21"/>
      <c r="FUB183" s="21"/>
      <c r="FUC183" s="21"/>
      <c r="FUD183" s="21"/>
      <c r="FUE183" s="21"/>
      <c r="FUF183" s="21"/>
      <c r="FUG183" s="21"/>
      <c r="FUH183" s="21"/>
      <c r="FUI183" s="21"/>
      <c r="FUJ183" s="21"/>
      <c r="FUK183" s="21"/>
      <c r="FUL183" s="21"/>
      <c r="FUM183" s="21"/>
      <c r="FUN183" s="21"/>
      <c r="FUO183" s="21"/>
      <c r="FUP183" s="21"/>
      <c r="FUQ183" s="21"/>
      <c r="FUR183" s="21"/>
      <c r="FUS183" s="21"/>
      <c r="FUT183" s="21"/>
      <c r="FUU183" s="21"/>
      <c r="FUV183" s="21"/>
      <c r="FUW183" s="21"/>
      <c r="FUX183" s="21"/>
      <c r="FUY183" s="21"/>
      <c r="FUZ183" s="21"/>
      <c r="FVA183" s="21"/>
      <c r="FVB183" s="21"/>
      <c r="FVC183" s="21"/>
      <c r="FVD183" s="21"/>
      <c r="FVE183" s="21"/>
      <c r="FVF183" s="21"/>
      <c r="FVG183" s="21"/>
      <c r="FVH183" s="21"/>
      <c r="FVI183" s="21"/>
      <c r="FVJ183" s="21"/>
      <c r="FVK183" s="21"/>
      <c r="FVL183" s="21"/>
      <c r="FVM183" s="21"/>
      <c r="FVN183" s="21"/>
      <c r="FVO183" s="21"/>
      <c r="FVP183" s="21"/>
      <c r="FVQ183" s="21"/>
      <c r="FVR183" s="21"/>
      <c r="FVS183" s="21"/>
      <c r="FVT183" s="21"/>
      <c r="FVU183" s="21"/>
      <c r="FVV183" s="21"/>
      <c r="FVW183" s="21"/>
      <c r="FVX183" s="21"/>
      <c r="FVY183" s="21"/>
      <c r="FVZ183" s="21"/>
      <c r="FWA183" s="21"/>
      <c r="FWB183" s="21"/>
      <c r="FWC183" s="21"/>
      <c r="FWD183" s="21"/>
      <c r="FWE183" s="21"/>
      <c r="FWF183" s="21"/>
      <c r="FWG183" s="21"/>
      <c r="FWH183" s="21"/>
      <c r="FWI183" s="21"/>
      <c r="FWJ183" s="21"/>
      <c r="FWK183" s="21"/>
      <c r="FWL183" s="21"/>
      <c r="FWM183" s="21"/>
      <c r="FWN183" s="21"/>
      <c r="FWO183" s="21"/>
      <c r="FWP183" s="21"/>
      <c r="FWQ183" s="21"/>
      <c r="FWR183" s="21"/>
      <c r="FWS183" s="21"/>
      <c r="FWT183" s="21"/>
      <c r="FWU183" s="21"/>
      <c r="FWV183" s="21"/>
      <c r="FWW183" s="21"/>
      <c r="FWX183" s="21"/>
      <c r="FWY183" s="21"/>
      <c r="FWZ183" s="21"/>
      <c r="FXA183" s="21"/>
      <c r="FXB183" s="21"/>
      <c r="FXC183" s="21"/>
      <c r="FXD183" s="21"/>
      <c r="FXE183" s="21"/>
      <c r="FXF183" s="21"/>
      <c r="FXG183" s="21"/>
      <c r="FXH183" s="21"/>
      <c r="FXI183" s="21"/>
      <c r="FXJ183" s="21"/>
      <c r="FXK183" s="21"/>
      <c r="FXL183" s="21"/>
      <c r="FXM183" s="21"/>
      <c r="FXN183" s="21"/>
      <c r="FXO183" s="21"/>
      <c r="FXP183" s="21"/>
      <c r="FXQ183" s="21"/>
      <c r="FXR183" s="21"/>
      <c r="FXS183" s="21"/>
      <c r="FXT183" s="21"/>
      <c r="FXU183" s="21"/>
      <c r="FXV183" s="21"/>
      <c r="FXW183" s="21"/>
      <c r="FXX183" s="21"/>
      <c r="FXY183" s="21"/>
      <c r="FXZ183" s="21"/>
      <c r="FYA183" s="21"/>
      <c r="FYB183" s="21"/>
      <c r="FYC183" s="21"/>
      <c r="FYD183" s="21"/>
      <c r="FYE183" s="21"/>
      <c r="FYF183" s="21"/>
      <c r="FYG183" s="21"/>
      <c r="FYH183" s="21"/>
      <c r="FYI183" s="21"/>
      <c r="FYJ183" s="21"/>
      <c r="FYK183" s="21"/>
      <c r="FYL183" s="21"/>
      <c r="FYM183" s="21"/>
      <c r="FYN183" s="21"/>
      <c r="FYO183" s="21"/>
      <c r="FYP183" s="21"/>
      <c r="FYQ183" s="21"/>
      <c r="FYR183" s="21"/>
      <c r="FYS183" s="21"/>
      <c r="FYT183" s="21"/>
      <c r="FYU183" s="21"/>
      <c r="FYV183" s="21"/>
      <c r="FYW183" s="21"/>
      <c r="FYX183" s="21"/>
      <c r="FYY183" s="21"/>
      <c r="FYZ183" s="21"/>
      <c r="FZA183" s="21"/>
      <c r="FZB183" s="21"/>
      <c r="FZC183" s="21"/>
      <c r="FZD183" s="21"/>
      <c r="FZE183" s="21"/>
      <c r="FZF183" s="21"/>
      <c r="FZG183" s="21"/>
      <c r="FZH183" s="21"/>
      <c r="FZI183" s="21"/>
      <c r="FZJ183" s="21"/>
      <c r="FZK183" s="21"/>
      <c r="FZL183" s="21"/>
      <c r="FZM183" s="21"/>
      <c r="FZN183" s="21"/>
      <c r="FZO183" s="21"/>
      <c r="FZP183" s="21"/>
      <c r="FZQ183" s="21"/>
      <c r="FZR183" s="21"/>
      <c r="FZS183" s="21"/>
      <c r="FZT183" s="21"/>
      <c r="FZU183" s="21"/>
      <c r="FZV183" s="21"/>
      <c r="FZW183" s="21"/>
      <c r="FZX183" s="21"/>
      <c r="FZY183" s="21"/>
      <c r="FZZ183" s="21"/>
      <c r="GAA183" s="21"/>
      <c r="GAB183" s="21"/>
      <c r="GAC183" s="21"/>
      <c r="GAD183" s="21"/>
      <c r="GAE183" s="21"/>
      <c r="GAF183" s="21"/>
      <c r="GAG183" s="21"/>
      <c r="GAH183" s="21"/>
      <c r="GAI183" s="21"/>
      <c r="GAJ183" s="21"/>
      <c r="GAK183" s="21"/>
      <c r="GAL183" s="21"/>
      <c r="GAM183" s="21"/>
      <c r="GAN183" s="21"/>
      <c r="GAO183" s="21"/>
      <c r="GAP183" s="21"/>
      <c r="GAQ183" s="21"/>
      <c r="GAR183" s="21"/>
      <c r="GAS183" s="21"/>
      <c r="GAT183" s="21"/>
      <c r="GAU183" s="21"/>
      <c r="GAV183" s="21"/>
      <c r="GAW183" s="21"/>
      <c r="GAX183" s="21"/>
      <c r="GAY183" s="21"/>
      <c r="GAZ183" s="21"/>
      <c r="GBA183" s="21"/>
      <c r="GBB183" s="21"/>
      <c r="GBC183" s="21"/>
      <c r="GBD183" s="21"/>
      <c r="GBE183" s="21"/>
      <c r="GBF183" s="21"/>
      <c r="GBG183" s="21"/>
      <c r="GBH183" s="21"/>
      <c r="GBI183" s="21"/>
      <c r="GBJ183" s="21"/>
      <c r="GBK183" s="21"/>
      <c r="GBL183" s="21"/>
      <c r="GBM183" s="21"/>
      <c r="GBN183" s="21"/>
      <c r="GBO183" s="21"/>
      <c r="GBP183" s="21"/>
      <c r="GBQ183" s="21"/>
      <c r="GBR183" s="21"/>
      <c r="GBS183" s="21"/>
      <c r="GBT183" s="21"/>
      <c r="GBU183" s="21"/>
      <c r="GBV183" s="21"/>
      <c r="GBW183" s="21"/>
      <c r="GBX183" s="21"/>
      <c r="GBY183" s="21"/>
      <c r="GBZ183" s="21"/>
      <c r="GCA183" s="21"/>
      <c r="GCB183" s="21"/>
      <c r="GCC183" s="21"/>
      <c r="GCD183" s="21"/>
      <c r="GCE183" s="21"/>
      <c r="GCF183" s="21"/>
      <c r="GCG183" s="21"/>
      <c r="GCH183" s="21"/>
      <c r="GCI183" s="21"/>
      <c r="GCJ183" s="21"/>
      <c r="GCK183" s="21"/>
      <c r="GCL183" s="21"/>
      <c r="GCM183" s="21"/>
      <c r="GCN183" s="21"/>
      <c r="GCO183" s="21"/>
      <c r="GCP183" s="21"/>
      <c r="GCQ183" s="21"/>
      <c r="GCR183" s="21"/>
      <c r="GCS183" s="21"/>
      <c r="GCT183" s="21"/>
      <c r="GCU183" s="21"/>
      <c r="GCV183" s="21"/>
      <c r="GCW183" s="21"/>
      <c r="GCX183" s="21"/>
      <c r="GCY183" s="21"/>
      <c r="GCZ183" s="21"/>
      <c r="GDA183" s="21"/>
      <c r="GDB183" s="21"/>
      <c r="GDC183" s="21"/>
      <c r="GDD183" s="21"/>
      <c r="GDE183" s="21"/>
      <c r="GDF183" s="21"/>
      <c r="GDG183" s="21"/>
      <c r="GDH183" s="21"/>
      <c r="GDI183" s="21"/>
      <c r="GDJ183" s="21"/>
      <c r="GDK183" s="21"/>
      <c r="GDL183" s="21"/>
      <c r="GDM183" s="21"/>
      <c r="GDN183" s="21"/>
      <c r="GDO183" s="21"/>
      <c r="GDP183" s="21"/>
      <c r="GDQ183" s="21"/>
      <c r="GDR183" s="21"/>
      <c r="GDS183" s="21"/>
      <c r="GDT183" s="21"/>
      <c r="GDU183" s="21"/>
      <c r="GDV183" s="21"/>
      <c r="GDW183" s="21"/>
      <c r="GDX183" s="21"/>
      <c r="GDY183" s="21"/>
      <c r="GDZ183" s="21"/>
      <c r="GEA183" s="21"/>
      <c r="GEB183" s="21"/>
      <c r="GEC183" s="21"/>
      <c r="GED183" s="21"/>
      <c r="GEE183" s="21"/>
      <c r="GEF183" s="21"/>
      <c r="GEG183" s="21"/>
      <c r="GEH183" s="21"/>
      <c r="GEI183" s="21"/>
      <c r="GEJ183" s="21"/>
      <c r="GEK183" s="21"/>
      <c r="GEL183" s="21"/>
      <c r="GEM183" s="21"/>
      <c r="GEN183" s="21"/>
      <c r="GEO183" s="21"/>
      <c r="GEP183" s="21"/>
      <c r="GEQ183" s="21"/>
      <c r="GER183" s="21"/>
      <c r="GES183" s="21"/>
      <c r="GET183" s="21"/>
      <c r="GEU183" s="21"/>
      <c r="GEV183" s="21"/>
      <c r="GEW183" s="21"/>
      <c r="GEX183" s="21"/>
      <c r="GEY183" s="21"/>
      <c r="GEZ183" s="21"/>
      <c r="GFA183" s="21"/>
      <c r="GFB183" s="21"/>
      <c r="GFC183" s="21"/>
      <c r="GFD183" s="21"/>
      <c r="GFE183" s="21"/>
      <c r="GFF183" s="21"/>
      <c r="GFG183" s="21"/>
      <c r="GFH183" s="21"/>
      <c r="GFI183" s="21"/>
      <c r="GFJ183" s="21"/>
      <c r="GFK183" s="21"/>
      <c r="GFL183" s="21"/>
      <c r="GFM183" s="21"/>
      <c r="GFN183" s="21"/>
      <c r="GFO183" s="21"/>
      <c r="GFP183" s="21"/>
      <c r="GFQ183" s="21"/>
      <c r="GFR183" s="21"/>
      <c r="GFS183" s="21"/>
      <c r="GFT183" s="21"/>
      <c r="GFU183" s="21"/>
      <c r="GFV183" s="21"/>
      <c r="GFW183" s="21"/>
      <c r="GFX183" s="21"/>
      <c r="GFY183" s="21"/>
      <c r="GFZ183" s="21"/>
      <c r="GGA183" s="21"/>
      <c r="GGB183" s="21"/>
      <c r="GGC183" s="21"/>
      <c r="GGD183" s="21"/>
      <c r="GGE183" s="21"/>
      <c r="GGF183" s="21"/>
      <c r="GGG183" s="21"/>
      <c r="GGH183" s="21"/>
      <c r="GGI183" s="21"/>
      <c r="GGJ183" s="21"/>
      <c r="GGK183" s="21"/>
      <c r="GGL183" s="21"/>
      <c r="GGM183" s="21"/>
      <c r="GGN183" s="21"/>
      <c r="GGO183" s="21"/>
      <c r="GGP183" s="21"/>
      <c r="GGQ183" s="21"/>
      <c r="GGR183" s="21"/>
      <c r="GGS183" s="21"/>
      <c r="GGT183" s="21"/>
      <c r="GGU183" s="21"/>
      <c r="GGV183" s="21"/>
      <c r="GGW183" s="21"/>
      <c r="GGX183" s="21"/>
      <c r="GGY183" s="21"/>
      <c r="GGZ183" s="21"/>
      <c r="GHA183" s="21"/>
      <c r="GHB183" s="21"/>
      <c r="GHC183" s="21"/>
      <c r="GHD183" s="21"/>
      <c r="GHE183" s="21"/>
      <c r="GHF183" s="21"/>
      <c r="GHG183" s="21"/>
      <c r="GHH183" s="21"/>
      <c r="GHI183" s="21"/>
      <c r="GHJ183" s="21"/>
      <c r="GHK183" s="21"/>
      <c r="GHL183" s="21"/>
      <c r="GHM183" s="21"/>
      <c r="GHN183" s="21"/>
      <c r="GHO183" s="21"/>
      <c r="GHP183" s="21"/>
      <c r="GHQ183" s="21"/>
      <c r="GHR183" s="21"/>
      <c r="GHS183" s="21"/>
      <c r="GHT183" s="21"/>
      <c r="GHU183" s="21"/>
      <c r="GHV183" s="21"/>
      <c r="GHW183" s="21"/>
      <c r="GHX183" s="21"/>
      <c r="GHY183" s="21"/>
      <c r="GHZ183" s="21"/>
      <c r="GIA183" s="21"/>
      <c r="GIB183" s="21"/>
      <c r="GIC183" s="21"/>
      <c r="GID183" s="21"/>
      <c r="GIE183" s="21"/>
      <c r="GIF183" s="21"/>
      <c r="GIG183" s="21"/>
      <c r="GIH183" s="21"/>
      <c r="GII183" s="21"/>
      <c r="GIJ183" s="21"/>
      <c r="GIK183" s="21"/>
      <c r="GIL183" s="21"/>
      <c r="GIM183" s="21"/>
      <c r="GIN183" s="21"/>
      <c r="GIO183" s="21"/>
      <c r="GIP183" s="21"/>
      <c r="GIQ183" s="21"/>
      <c r="GIR183" s="21"/>
      <c r="GIS183" s="21"/>
      <c r="GIT183" s="21"/>
      <c r="GIU183" s="21"/>
      <c r="GIV183" s="21"/>
      <c r="GIW183" s="21"/>
      <c r="GIX183" s="21"/>
      <c r="GIY183" s="21"/>
      <c r="GIZ183" s="21"/>
      <c r="GJA183" s="21"/>
      <c r="GJB183" s="21"/>
      <c r="GJC183" s="21"/>
      <c r="GJD183" s="21"/>
      <c r="GJE183" s="21"/>
      <c r="GJF183" s="21"/>
      <c r="GJG183" s="21"/>
      <c r="GJH183" s="21"/>
      <c r="GJI183" s="21"/>
      <c r="GJJ183" s="21"/>
      <c r="GJK183" s="21"/>
      <c r="GJL183" s="21"/>
      <c r="GJM183" s="21"/>
      <c r="GJN183" s="21"/>
      <c r="GJO183" s="21"/>
      <c r="GJP183" s="21"/>
      <c r="GJQ183" s="21"/>
      <c r="GJR183" s="21"/>
      <c r="GJS183" s="21"/>
      <c r="GJT183" s="21"/>
      <c r="GJU183" s="21"/>
      <c r="GJV183" s="21"/>
      <c r="GJW183" s="21"/>
      <c r="GJX183" s="21"/>
      <c r="GJY183" s="21"/>
      <c r="GJZ183" s="21"/>
      <c r="GKA183" s="21"/>
      <c r="GKB183" s="21"/>
      <c r="GKC183" s="21"/>
      <c r="GKD183" s="21"/>
      <c r="GKE183" s="21"/>
      <c r="GKF183" s="21"/>
      <c r="GKG183" s="21"/>
      <c r="GKH183" s="21"/>
      <c r="GKI183" s="21"/>
      <c r="GKJ183" s="21"/>
      <c r="GKK183" s="21"/>
      <c r="GKL183" s="21"/>
      <c r="GKM183" s="21"/>
      <c r="GKN183" s="21"/>
      <c r="GKO183" s="21"/>
      <c r="GKP183" s="21"/>
      <c r="GKQ183" s="21"/>
      <c r="GKR183" s="21"/>
      <c r="GKS183" s="21"/>
      <c r="GKT183" s="21"/>
      <c r="GKU183" s="21"/>
      <c r="GKV183" s="21"/>
      <c r="GKW183" s="21"/>
      <c r="GKX183" s="21"/>
      <c r="GKY183" s="21"/>
      <c r="GKZ183" s="21"/>
      <c r="GLA183" s="21"/>
      <c r="GLB183" s="21"/>
      <c r="GLC183" s="21"/>
      <c r="GLD183" s="21"/>
      <c r="GLE183" s="21"/>
      <c r="GLF183" s="21"/>
      <c r="GLG183" s="21"/>
      <c r="GLH183" s="21"/>
      <c r="GLI183" s="21"/>
      <c r="GLJ183" s="21"/>
      <c r="GLK183" s="21"/>
      <c r="GLL183" s="21"/>
      <c r="GLM183" s="21"/>
      <c r="GLN183" s="21"/>
      <c r="GLO183" s="21"/>
      <c r="GLP183" s="21"/>
      <c r="GLQ183" s="21"/>
      <c r="GLR183" s="21"/>
      <c r="GLS183" s="21"/>
      <c r="GLT183" s="21"/>
      <c r="GLU183" s="21"/>
      <c r="GLV183" s="21"/>
      <c r="GLW183" s="21"/>
      <c r="GLX183" s="21"/>
      <c r="GLY183" s="21"/>
      <c r="GLZ183" s="21"/>
      <c r="GMA183" s="21"/>
      <c r="GMB183" s="21"/>
      <c r="GMC183" s="21"/>
      <c r="GMD183" s="21"/>
      <c r="GME183" s="21"/>
      <c r="GMF183" s="21"/>
      <c r="GMG183" s="21"/>
      <c r="GMH183" s="21"/>
      <c r="GMI183" s="21"/>
      <c r="GMJ183" s="21"/>
      <c r="GMK183" s="21"/>
      <c r="GML183" s="21"/>
      <c r="GMM183" s="21"/>
      <c r="GMN183" s="21"/>
      <c r="GMO183" s="21"/>
      <c r="GMP183" s="21"/>
      <c r="GMQ183" s="21"/>
      <c r="GMR183" s="21"/>
      <c r="GMS183" s="21"/>
      <c r="GMT183" s="21"/>
      <c r="GMU183" s="21"/>
      <c r="GMV183" s="21"/>
      <c r="GMW183" s="21"/>
      <c r="GMX183" s="21"/>
      <c r="GMY183" s="21"/>
      <c r="GMZ183" s="21"/>
      <c r="GNA183" s="21"/>
      <c r="GNB183" s="21"/>
      <c r="GNC183" s="21"/>
      <c r="GND183" s="21"/>
      <c r="GNE183" s="21"/>
      <c r="GNF183" s="21"/>
      <c r="GNG183" s="21"/>
      <c r="GNH183" s="21"/>
      <c r="GNI183" s="21"/>
      <c r="GNJ183" s="21"/>
      <c r="GNK183" s="21"/>
      <c r="GNL183" s="21"/>
      <c r="GNM183" s="21"/>
      <c r="GNN183" s="21"/>
      <c r="GNO183" s="21"/>
      <c r="GNP183" s="21"/>
      <c r="GNQ183" s="21"/>
      <c r="GNR183" s="21"/>
      <c r="GNS183" s="21"/>
      <c r="GNT183" s="21"/>
      <c r="GNU183" s="21"/>
      <c r="GNV183" s="21"/>
      <c r="GNW183" s="21"/>
      <c r="GNX183" s="21"/>
      <c r="GNY183" s="21"/>
      <c r="GNZ183" s="21"/>
      <c r="GOA183" s="21"/>
      <c r="GOB183" s="21"/>
      <c r="GOC183" s="21"/>
      <c r="GOD183" s="21"/>
      <c r="GOE183" s="21"/>
      <c r="GOF183" s="21"/>
      <c r="GOG183" s="21"/>
      <c r="GOH183" s="21"/>
      <c r="GOI183" s="21"/>
      <c r="GOJ183" s="21"/>
      <c r="GOK183" s="21"/>
      <c r="GOL183" s="21"/>
      <c r="GOM183" s="21"/>
      <c r="GON183" s="21"/>
      <c r="GOO183" s="21"/>
      <c r="GOP183" s="21"/>
      <c r="GOQ183" s="21"/>
      <c r="GOR183" s="21"/>
      <c r="GOS183" s="21"/>
      <c r="GOT183" s="21"/>
      <c r="GOU183" s="21"/>
      <c r="GOV183" s="21"/>
      <c r="GOW183" s="21"/>
      <c r="GOX183" s="21"/>
      <c r="GOY183" s="21"/>
      <c r="GOZ183" s="21"/>
      <c r="GPA183" s="21"/>
      <c r="GPB183" s="21"/>
      <c r="GPC183" s="21"/>
      <c r="GPD183" s="21"/>
      <c r="GPE183" s="21"/>
      <c r="GPF183" s="21"/>
      <c r="GPG183" s="21"/>
      <c r="GPH183" s="21"/>
      <c r="GPI183" s="21"/>
      <c r="GPJ183" s="21"/>
      <c r="GPK183" s="21"/>
      <c r="GPL183" s="21"/>
      <c r="GPM183" s="21"/>
      <c r="GPN183" s="21"/>
      <c r="GPO183" s="21"/>
      <c r="GPP183" s="21"/>
      <c r="GPQ183" s="21"/>
      <c r="GPR183" s="21"/>
      <c r="GPS183" s="21"/>
      <c r="GPT183" s="21"/>
      <c r="GPU183" s="21"/>
      <c r="GPV183" s="21"/>
      <c r="GPW183" s="21"/>
      <c r="GPX183" s="21"/>
      <c r="GPY183" s="21"/>
      <c r="GPZ183" s="21"/>
      <c r="GQA183" s="21"/>
      <c r="GQB183" s="21"/>
      <c r="GQC183" s="21"/>
      <c r="GQD183" s="21"/>
      <c r="GQE183" s="21"/>
      <c r="GQF183" s="21"/>
      <c r="GQG183" s="21"/>
      <c r="GQH183" s="21"/>
      <c r="GQI183" s="21"/>
      <c r="GQJ183" s="21"/>
      <c r="GQK183" s="21"/>
      <c r="GQL183" s="21"/>
      <c r="GQM183" s="21"/>
      <c r="GQN183" s="21"/>
      <c r="GQO183" s="21"/>
      <c r="GQP183" s="21"/>
      <c r="GQQ183" s="21"/>
      <c r="GQR183" s="21"/>
      <c r="GQS183" s="21"/>
      <c r="GQT183" s="21"/>
      <c r="GQU183" s="21"/>
      <c r="GQV183" s="21"/>
      <c r="GQW183" s="21"/>
      <c r="GQX183" s="21"/>
      <c r="GQY183" s="21"/>
      <c r="GQZ183" s="21"/>
      <c r="GRA183" s="21"/>
      <c r="GRB183" s="21"/>
      <c r="GRC183" s="21"/>
      <c r="GRD183" s="21"/>
      <c r="GRE183" s="21"/>
      <c r="GRF183" s="21"/>
      <c r="GRG183" s="21"/>
      <c r="GRH183" s="21"/>
      <c r="GRI183" s="21"/>
      <c r="GRJ183" s="21"/>
      <c r="GRK183" s="21"/>
      <c r="GRL183" s="21"/>
      <c r="GRM183" s="21"/>
      <c r="GRN183" s="21"/>
      <c r="GRO183" s="21"/>
      <c r="GRP183" s="21"/>
      <c r="GRQ183" s="21"/>
      <c r="GRR183" s="21"/>
      <c r="GRS183" s="21"/>
      <c r="GRT183" s="21"/>
      <c r="GRU183" s="21"/>
      <c r="GRV183" s="21"/>
      <c r="GRW183" s="21"/>
      <c r="GRX183" s="21"/>
      <c r="GRY183" s="21"/>
      <c r="GRZ183" s="21"/>
      <c r="GSA183" s="21"/>
      <c r="GSB183" s="21"/>
      <c r="GSC183" s="21"/>
      <c r="GSD183" s="21"/>
      <c r="GSE183" s="21"/>
      <c r="GSF183" s="21"/>
      <c r="GSG183" s="21"/>
      <c r="GSH183" s="21"/>
      <c r="GSI183" s="21"/>
      <c r="GSJ183" s="21"/>
      <c r="GSK183" s="21"/>
      <c r="GSL183" s="21"/>
      <c r="GSM183" s="21"/>
      <c r="GSN183" s="21"/>
      <c r="GSO183" s="21"/>
      <c r="GSP183" s="21"/>
      <c r="GSQ183" s="21"/>
      <c r="GSR183" s="21"/>
      <c r="GSS183" s="21"/>
      <c r="GST183" s="21"/>
      <c r="GSU183" s="21"/>
      <c r="GSV183" s="21"/>
      <c r="GSW183" s="21"/>
      <c r="GSX183" s="21"/>
      <c r="GSY183" s="21"/>
      <c r="GSZ183" s="21"/>
      <c r="GTA183" s="21"/>
      <c r="GTB183" s="21"/>
      <c r="GTC183" s="21"/>
      <c r="GTD183" s="21"/>
      <c r="GTE183" s="21"/>
      <c r="GTF183" s="21"/>
      <c r="GTG183" s="21"/>
      <c r="GTH183" s="21"/>
      <c r="GTI183" s="21"/>
      <c r="GTJ183" s="21"/>
      <c r="GTK183" s="21"/>
      <c r="GTL183" s="21"/>
      <c r="GTM183" s="21"/>
      <c r="GTN183" s="21"/>
      <c r="GTO183" s="21"/>
      <c r="GTP183" s="21"/>
      <c r="GTQ183" s="21"/>
      <c r="GTR183" s="21"/>
      <c r="GTS183" s="21"/>
      <c r="GTT183" s="21"/>
      <c r="GTU183" s="21"/>
      <c r="GTV183" s="21"/>
      <c r="GTW183" s="21"/>
      <c r="GTX183" s="21"/>
      <c r="GTY183" s="21"/>
      <c r="GTZ183" s="21"/>
      <c r="GUA183" s="21"/>
      <c r="GUB183" s="21"/>
      <c r="GUC183" s="21"/>
      <c r="GUD183" s="21"/>
      <c r="GUE183" s="21"/>
      <c r="GUF183" s="21"/>
      <c r="GUG183" s="21"/>
      <c r="GUH183" s="21"/>
      <c r="GUI183" s="21"/>
      <c r="GUJ183" s="21"/>
      <c r="GUK183" s="21"/>
      <c r="GUL183" s="21"/>
      <c r="GUM183" s="21"/>
      <c r="GUN183" s="21"/>
      <c r="GUO183" s="21"/>
      <c r="GUP183" s="21"/>
      <c r="GUQ183" s="21"/>
      <c r="GUR183" s="21"/>
      <c r="GUS183" s="21"/>
      <c r="GUT183" s="21"/>
      <c r="GUU183" s="21"/>
      <c r="GUV183" s="21"/>
      <c r="GUW183" s="21"/>
      <c r="GUX183" s="21"/>
      <c r="GUY183" s="21"/>
      <c r="GUZ183" s="21"/>
      <c r="GVA183" s="21"/>
      <c r="GVB183" s="21"/>
      <c r="GVC183" s="21"/>
      <c r="GVD183" s="21"/>
      <c r="GVE183" s="21"/>
      <c r="GVF183" s="21"/>
      <c r="GVG183" s="21"/>
      <c r="GVH183" s="21"/>
      <c r="GVI183" s="21"/>
      <c r="GVJ183" s="21"/>
      <c r="GVK183" s="21"/>
      <c r="GVL183" s="21"/>
      <c r="GVM183" s="21"/>
      <c r="GVN183" s="21"/>
      <c r="GVO183" s="21"/>
      <c r="GVP183" s="21"/>
      <c r="GVQ183" s="21"/>
      <c r="GVR183" s="21"/>
      <c r="GVS183" s="21"/>
      <c r="GVT183" s="21"/>
      <c r="GVU183" s="21"/>
      <c r="GVV183" s="21"/>
      <c r="GVW183" s="21"/>
      <c r="GVX183" s="21"/>
      <c r="GVY183" s="21"/>
      <c r="GVZ183" s="21"/>
      <c r="GWA183" s="21"/>
      <c r="GWB183" s="21"/>
      <c r="GWC183" s="21"/>
      <c r="GWD183" s="21"/>
      <c r="GWE183" s="21"/>
      <c r="GWF183" s="21"/>
      <c r="GWG183" s="21"/>
      <c r="GWH183" s="21"/>
      <c r="GWI183" s="21"/>
      <c r="GWJ183" s="21"/>
      <c r="GWK183" s="21"/>
      <c r="GWL183" s="21"/>
      <c r="GWM183" s="21"/>
      <c r="GWN183" s="21"/>
      <c r="GWO183" s="21"/>
      <c r="GWP183" s="21"/>
      <c r="GWQ183" s="21"/>
      <c r="GWR183" s="21"/>
      <c r="GWS183" s="21"/>
      <c r="GWT183" s="21"/>
      <c r="GWU183" s="21"/>
      <c r="GWV183" s="21"/>
      <c r="GWW183" s="21"/>
      <c r="GWX183" s="21"/>
      <c r="GWY183" s="21"/>
      <c r="GWZ183" s="21"/>
      <c r="GXA183" s="21"/>
      <c r="GXB183" s="21"/>
      <c r="GXC183" s="21"/>
      <c r="GXD183" s="21"/>
      <c r="GXE183" s="21"/>
      <c r="GXF183" s="21"/>
      <c r="GXG183" s="21"/>
      <c r="GXH183" s="21"/>
      <c r="GXI183" s="21"/>
      <c r="GXJ183" s="21"/>
      <c r="GXK183" s="21"/>
      <c r="GXL183" s="21"/>
      <c r="GXM183" s="21"/>
      <c r="GXN183" s="21"/>
      <c r="GXO183" s="21"/>
      <c r="GXP183" s="21"/>
      <c r="GXQ183" s="21"/>
      <c r="GXR183" s="21"/>
      <c r="GXS183" s="21"/>
      <c r="GXT183" s="21"/>
      <c r="GXU183" s="21"/>
      <c r="GXV183" s="21"/>
      <c r="GXW183" s="21"/>
      <c r="GXX183" s="21"/>
      <c r="GXY183" s="21"/>
      <c r="GXZ183" s="21"/>
      <c r="GYA183" s="21"/>
      <c r="GYB183" s="21"/>
      <c r="GYC183" s="21"/>
      <c r="GYD183" s="21"/>
      <c r="GYE183" s="21"/>
      <c r="GYF183" s="21"/>
      <c r="GYG183" s="21"/>
      <c r="GYH183" s="21"/>
      <c r="GYI183" s="21"/>
      <c r="GYJ183" s="21"/>
      <c r="GYK183" s="21"/>
      <c r="GYL183" s="21"/>
      <c r="GYM183" s="21"/>
      <c r="GYN183" s="21"/>
      <c r="GYO183" s="21"/>
      <c r="GYP183" s="21"/>
      <c r="GYQ183" s="21"/>
      <c r="GYR183" s="21"/>
      <c r="GYS183" s="21"/>
      <c r="GYT183" s="21"/>
      <c r="GYU183" s="21"/>
      <c r="GYV183" s="21"/>
      <c r="GYW183" s="21"/>
      <c r="GYX183" s="21"/>
      <c r="GYY183" s="21"/>
      <c r="GYZ183" s="21"/>
      <c r="GZA183" s="21"/>
      <c r="GZB183" s="21"/>
      <c r="GZC183" s="21"/>
      <c r="GZD183" s="21"/>
      <c r="GZE183" s="21"/>
      <c r="GZF183" s="21"/>
      <c r="GZG183" s="21"/>
      <c r="GZH183" s="21"/>
      <c r="GZI183" s="21"/>
      <c r="GZJ183" s="21"/>
      <c r="GZK183" s="21"/>
      <c r="GZL183" s="21"/>
      <c r="GZM183" s="21"/>
      <c r="GZN183" s="21"/>
      <c r="GZO183" s="21"/>
      <c r="GZP183" s="21"/>
      <c r="GZQ183" s="21"/>
      <c r="GZR183" s="21"/>
      <c r="GZS183" s="21"/>
      <c r="GZT183" s="21"/>
      <c r="GZU183" s="21"/>
      <c r="GZV183" s="21"/>
      <c r="GZW183" s="21"/>
      <c r="GZX183" s="21"/>
      <c r="GZY183" s="21"/>
      <c r="GZZ183" s="21"/>
      <c r="HAA183" s="21"/>
      <c r="HAB183" s="21"/>
      <c r="HAC183" s="21"/>
      <c r="HAD183" s="21"/>
      <c r="HAE183" s="21"/>
      <c r="HAF183" s="21"/>
      <c r="HAG183" s="21"/>
      <c r="HAH183" s="21"/>
      <c r="HAI183" s="21"/>
      <c r="HAJ183" s="21"/>
      <c r="HAK183" s="21"/>
      <c r="HAL183" s="21"/>
      <c r="HAM183" s="21"/>
      <c r="HAN183" s="21"/>
      <c r="HAO183" s="21"/>
      <c r="HAP183" s="21"/>
      <c r="HAQ183" s="21"/>
      <c r="HAR183" s="21"/>
      <c r="HAS183" s="21"/>
      <c r="HAT183" s="21"/>
      <c r="HAU183" s="21"/>
      <c r="HAV183" s="21"/>
      <c r="HAW183" s="21"/>
      <c r="HAX183" s="21"/>
      <c r="HAY183" s="21"/>
      <c r="HAZ183" s="21"/>
      <c r="HBA183" s="21"/>
      <c r="HBB183" s="21"/>
      <c r="HBC183" s="21"/>
      <c r="HBD183" s="21"/>
      <c r="HBE183" s="21"/>
      <c r="HBF183" s="21"/>
      <c r="HBG183" s="21"/>
      <c r="HBH183" s="21"/>
      <c r="HBI183" s="21"/>
      <c r="HBJ183" s="21"/>
      <c r="HBK183" s="21"/>
      <c r="HBL183" s="21"/>
      <c r="HBM183" s="21"/>
      <c r="HBN183" s="21"/>
      <c r="HBO183" s="21"/>
      <c r="HBP183" s="21"/>
      <c r="HBQ183" s="21"/>
      <c r="HBR183" s="21"/>
      <c r="HBS183" s="21"/>
      <c r="HBT183" s="21"/>
      <c r="HBU183" s="21"/>
      <c r="HBV183" s="21"/>
      <c r="HBW183" s="21"/>
      <c r="HBX183" s="21"/>
      <c r="HBY183" s="21"/>
      <c r="HBZ183" s="21"/>
      <c r="HCA183" s="21"/>
      <c r="HCB183" s="21"/>
      <c r="HCC183" s="21"/>
      <c r="HCD183" s="21"/>
      <c r="HCE183" s="21"/>
      <c r="HCF183" s="21"/>
      <c r="HCG183" s="21"/>
      <c r="HCH183" s="21"/>
      <c r="HCI183" s="21"/>
      <c r="HCJ183" s="21"/>
      <c r="HCK183" s="21"/>
      <c r="HCL183" s="21"/>
      <c r="HCM183" s="21"/>
      <c r="HCN183" s="21"/>
      <c r="HCO183" s="21"/>
      <c r="HCP183" s="21"/>
      <c r="HCQ183" s="21"/>
      <c r="HCR183" s="21"/>
      <c r="HCS183" s="21"/>
      <c r="HCT183" s="21"/>
      <c r="HCU183" s="21"/>
      <c r="HCV183" s="21"/>
      <c r="HCW183" s="21"/>
      <c r="HCX183" s="21"/>
      <c r="HCY183" s="21"/>
      <c r="HCZ183" s="21"/>
      <c r="HDA183" s="21"/>
      <c r="HDB183" s="21"/>
      <c r="HDC183" s="21"/>
      <c r="HDD183" s="21"/>
      <c r="HDE183" s="21"/>
      <c r="HDF183" s="21"/>
      <c r="HDG183" s="21"/>
      <c r="HDH183" s="21"/>
      <c r="HDI183" s="21"/>
      <c r="HDJ183" s="21"/>
      <c r="HDK183" s="21"/>
      <c r="HDL183" s="21"/>
      <c r="HDM183" s="21"/>
      <c r="HDN183" s="21"/>
      <c r="HDO183" s="21"/>
      <c r="HDP183" s="21"/>
      <c r="HDQ183" s="21"/>
      <c r="HDR183" s="21"/>
      <c r="HDS183" s="21"/>
      <c r="HDT183" s="21"/>
      <c r="HDU183" s="21"/>
      <c r="HDV183" s="21"/>
      <c r="HDW183" s="21"/>
      <c r="HDX183" s="21"/>
      <c r="HDY183" s="21"/>
      <c r="HDZ183" s="21"/>
      <c r="HEA183" s="21"/>
      <c r="HEB183" s="21"/>
      <c r="HEC183" s="21"/>
      <c r="HED183" s="21"/>
      <c r="HEE183" s="21"/>
      <c r="HEF183" s="21"/>
      <c r="HEG183" s="21"/>
      <c r="HEH183" s="21"/>
      <c r="HEI183" s="21"/>
      <c r="HEJ183" s="21"/>
      <c r="HEK183" s="21"/>
      <c r="HEL183" s="21"/>
      <c r="HEM183" s="21"/>
      <c r="HEN183" s="21"/>
      <c r="HEO183" s="21"/>
      <c r="HEP183" s="21"/>
      <c r="HEQ183" s="21"/>
      <c r="HER183" s="21"/>
      <c r="HES183" s="21"/>
      <c r="HET183" s="21"/>
      <c r="HEU183" s="21"/>
      <c r="HEV183" s="21"/>
      <c r="HEW183" s="21"/>
      <c r="HEX183" s="21"/>
      <c r="HEY183" s="21"/>
      <c r="HEZ183" s="21"/>
      <c r="HFA183" s="21"/>
      <c r="HFB183" s="21"/>
      <c r="HFC183" s="21"/>
      <c r="HFD183" s="21"/>
      <c r="HFE183" s="21"/>
      <c r="HFF183" s="21"/>
      <c r="HFG183" s="21"/>
      <c r="HFH183" s="21"/>
      <c r="HFI183" s="21"/>
      <c r="HFJ183" s="21"/>
      <c r="HFK183" s="21"/>
      <c r="HFL183" s="21"/>
      <c r="HFM183" s="21"/>
      <c r="HFN183" s="21"/>
      <c r="HFO183" s="21"/>
      <c r="HFP183" s="21"/>
      <c r="HFQ183" s="21"/>
      <c r="HFR183" s="21"/>
      <c r="HFS183" s="21"/>
      <c r="HFT183" s="21"/>
      <c r="HFU183" s="21"/>
      <c r="HFV183" s="21"/>
      <c r="HFW183" s="21"/>
      <c r="HFX183" s="21"/>
      <c r="HFY183" s="21"/>
      <c r="HFZ183" s="21"/>
      <c r="HGA183" s="21"/>
      <c r="HGB183" s="21"/>
      <c r="HGC183" s="21"/>
      <c r="HGD183" s="21"/>
      <c r="HGE183" s="21"/>
      <c r="HGF183" s="21"/>
      <c r="HGG183" s="21"/>
      <c r="HGH183" s="21"/>
      <c r="HGI183" s="21"/>
      <c r="HGJ183" s="21"/>
      <c r="HGK183" s="21"/>
      <c r="HGL183" s="21"/>
      <c r="HGM183" s="21"/>
      <c r="HGN183" s="21"/>
      <c r="HGO183" s="21"/>
      <c r="HGP183" s="21"/>
      <c r="HGQ183" s="21"/>
      <c r="HGR183" s="21"/>
      <c r="HGS183" s="21"/>
      <c r="HGT183" s="21"/>
      <c r="HGU183" s="21"/>
      <c r="HGV183" s="21"/>
      <c r="HGW183" s="21"/>
      <c r="HGX183" s="21"/>
      <c r="HGY183" s="21"/>
      <c r="HGZ183" s="21"/>
      <c r="HHA183" s="21"/>
      <c r="HHB183" s="21"/>
      <c r="HHC183" s="21"/>
      <c r="HHD183" s="21"/>
      <c r="HHE183" s="21"/>
      <c r="HHF183" s="21"/>
      <c r="HHG183" s="21"/>
      <c r="HHH183" s="21"/>
      <c r="HHI183" s="21"/>
      <c r="HHJ183" s="21"/>
      <c r="HHK183" s="21"/>
      <c r="HHL183" s="21"/>
      <c r="HHM183" s="21"/>
      <c r="HHN183" s="21"/>
      <c r="HHO183" s="21"/>
      <c r="HHP183" s="21"/>
      <c r="HHQ183" s="21"/>
      <c r="HHR183" s="21"/>
      <c r="HHS183" s="21"/>
      <c r="HHT183" s="21"/>
      <c r="HHU183" s="21"/>
      <c r="HHV183" s="21"/>
      <c r="HHW183" s="21"/>
      <c r="HHX183" s="21"/>
      <c r="HHY183" s="21"/>
      <c r="HHZ183" s="21"/>
      <c r="HIA183" s="21"/>
      <c r="HIB183" s="21"/>
      <c r="HIC183" s="21"/>
      <c r="HID183" s="21"/>
      <c r="HIE183" s="21"/>
      <c r="HIF183" s="21"/>
      <c r="HIG183" s="21"/>
      <c r="HIH183" s="21"/>
      <c r="HII183" s="21"/>
      <c r="HIJ183" s="21"/>
      <c r="HIK183" s="21"/>
      <c r="HIL183" s="21"/>
      <c r="HIM183" s="21"/>
      <c r="HIN183" s="21"/>
      <c r="HIO183" s="21"/>
      <c r="HIP183" s="21"/>
      <c r="HIQ183" s="21"/>
      <c r="HIR183" s="21"/>
      <c r="HIS183" s="21"/>
      <c r="HIT183" s="21"/>
      <c r="HIU183" s="21"/>
      <c r="HIV183" s="21"/>
      <c r="HIW183" s="21"/>
      <c r="HIX183" s="21"/>
      <c r="HIY183" s="21"/>
      <c r="HIZ183" s="21"/>
      <c r="HJA183" s="21"/>
      <c r="HJB183" s="21"/>
      <c r="HJC183" s="21"/>
      <c r="HJD183" s="21"/>
      <c r="HJE183" s="21"/>
      <c r="HJF183" s="21"/>
      <c r="HJG183" s="21"/>
      <c r="HJH183" s="21"/>
      <c r="HJI183" s="21"/>
      <c r="HJJ183" s="21"/>
      <c r="HJK183" s="21"/>
      <c r="HJL183" s="21"/>
      <c r="HJM183" s="21"/>
      <c r="HJN183" s="21"/>
      <c r="HJO183" s="21"/>
      <c r="HJP183" s="21"/>
      <c r="HJQ183" s="21"/>
      <c r="HJR183" s="21"/>
      <c r="HJS183" s="21"/>
      <c r="HJT183" s="21"/>
      <c r="HJU183" s="21"/>
      <c r="HJV183" s="21"/>
      <c r="HJW183" s="21"/>
      <c r="HJX183" s="21"/>
      <c r="HJY183" s="21"/>
      <c r="HJZ183" s="21"/>
      <c r="HKA183" s="21"/>
      <c r="HKB183" s="21"/>
      <c r="HKC183" s="21"/>
      <c r="HKD183" s="21"/>
      <c r="HKE183" s="21"/>
      <c r="HKF183" s="21"/>
      <c r="HKG183" s="21"/>
      <c r="HKH183" s="21"/>
      <c r="HKI183" s="21"/>
      <c r="HKJ183" s="21"/>
      <c r="HKK183" s="21"/>
      <c r="HKL183" s="21"/>
      <c r="HKM183" s="21"/>
      <c r="HKN183" s="21"/>
      <c r="HKO183" s="21"/>
      <c r="HKP183" s="21"/>
      <c r="HKQ183" s="21"/>
      <c r="HKR183" s="21"/>
      <c r="HKS183" s="21"/>
      <c r="HKT183" s="21"/>
      <c r="HKU183" s="21"/>
      <c r="HKV183" s="21"/>
      <c r="HKW183" s="21"/>
      <c r="HKX183" s="21"/>
      <c r="HKY183" s="21"/>
      <c r="HKZ183" s="21"/>
      <c r="HLA183" s="21"/>
      <c r="HLB183" s="21"/>
      <c r="HLC183" s="21"/>
      <c r="HLD183" s="21"/>
      <c r="HLE183" s="21"/>
      <c r="HLF183" s="21"/>
      <c r="HLG183" s="21"/>
      <c r="HLH183" s="21"/>
      <c r="HLI183" s="21"/>
      <c r="HLJ183" s="21"/>
      <c r="HLK183" s="21"/>
      <c r="HLL183" s="21"/>
      <c r="HLM183" s="21"/>
      <c r="HLN183" s="21"/>
      <c r="HLO183" s="21"/>
      <c r="HLP183" s="21"/>
      <c r="HLQ183" s="21"/>
      <c r="HLR183" s="21"/>
      <c r="HLS183" s="21"/>
      <c r="HLT183" s="21"/>
      <c r="HLU183" s="21"/>
      <c r="HLV183" s="21"/>
      <c r="HLW183" s="21"/>
      <c r="HLX183" s="21"/>
      <c r="HLY183" s="21"/>
      <c r="HLZ183" s="21"/>
      <c r="HMA183" s="21"/>
      <c r="HMB183" s="21"/>
      <c r="HMC183" s="21"/>
      <c r="HMD183" s="21"/>
      <c r="HME183" s="21"/>
      <c r="HMF183" s="21"/>
      <c r="HMG183" s="21"/>
      <c r="HMH183" s="21"/>
      <c r="HMI183" s="21"/>
      <c r="HMJ183" s="21"/>
      <c r="HMK183" s="21"/>
      <c r="HML183" s="21"/>
      <c r="HMM183" s="21"/>
      <c r="HMN183" s="21"/>
      <c r="HMO183" s="21"/>
      <c r="HMP183" s="21"/>
      <c r="HMQ183" s="21"/>
      <c r="HMR183" s="21"/>
      <c r="HMS183" s="21"/>
      <c r="HMT183" s="21"/>
      <c r="HMU183" s="21"/>
      <c r="HMV183" s="21"/>
      <c r="HMW183" s="21"/>
      <c r="HMX183" s="21"/>
      <c r="HMY183" s="21"/>
      <c r="HMZ183" s="21"/>
      <c r="HNA183" s="21"/>
      <c r="HNB183" s="21"/>
      <c r="HNC183" s="21"/>
      <c r="HND183" s="21"/>
      <c r="HNE183" s="21"/>
      <c r="HNF183" s="21"/>
      <c r="HNG183" s="21"/>
      <c r="HNH183" s="21"/>
      <c r="HNI183" s="21"/>
      <c r="HNJ183" s="21"/>
      <c r="HNK183" s="21"/>
      <c r="HNL183" s="21"/>
      <c r="HNM183" s="21"/>
      <c r="HNN183" s="21"/>
      <c r="HNO183" s="21"/>
      <c r="HNP183" s="21"/>
      <c r="HNQ183" s="21"/>
      <c r="HNR183" s="21"/>
      <c r="HNS183" s="21"/>
      <c r="HNT183" s="21"/>
      <c r="HNU183" s="21"/>
      <c r="HNV183" s="21"/>
      <c r="HNW183" s="21"/>
      <c r="HNX183" s="21"/>
      <c r="HNY183" s="21"/>
      <c r="HNZ183" s="21"/>
      <c r="HOA183" s="21"/>
      <c r="HOB183" s="21"/>
      <c r="HOC183" s="21"/>
      <c r="HOD183" s="21"/>
      <c r="HOE183" s="21"/>
      <c r="HOF183" s="21"/>
      <c r="HOG183" s="21"/>
      <c r="HOH183" s="21"/>
      <c r="HOI183" s="21"/>
      <c r="HOJ183" s="21"/>
      <c r="HOK183" s="21"/>
      <c r="HOL183" s="21"/>
      <c r="HOM183" s="21"/>
      <c r="HON183" s="21"/>
      <c r="HOO183" s="21"/>
      <c r="HOP183" s="21"/>
      <c r="HOQ183" s="21"/>
      <c r="HOR183" s="21"/>
      <c r="HOS183" s="21"/>
      <c r="HOT183" s="21"/>
      <c r="HOU183" s="21"/>
      <c r="HOV183" s="21"/>
      <c r="HOW183" s="21"/>
      <c r="HOX183" s="21"/>
      <c r="HOY183" s="21"/>
      <c r="HOZ183" s="21"/>
      <c r="HPA183" s="21"/>
      <c r="HPB183" s="21"/>
      <c r="HPC183" s="21"/>
      <c r="HPD183" s="21"/>
      <c r="HPE183" s="21"/>
      <c r="HPF183" s="21"/>
      <c r="HPG183" s="21"/>
      <c r="HPH183" s="21"/>
      <c r="HPI183" s="21"/>
      <c r="HPJ183" s="21"/>
      <c r="HPK183" s="21"/>
      <c r="HPL183" s="21"/>
      <c r="HPM183" s="21"/>
      <c r="HPN183" s="21"/>
      <c r="HPO183" s="21"/>
      <c r="HPP183" s="21"/>
      <c r="HPQ183" s="21"/>
      <c r="HPR183" s="21"/>
      <c r="HPS183" s="21"/>
      <c r="HPT183" s="21"/>
      <c r="HPU183" s="21"/>
      <c r="HPV183" s="21"/>
      <c r="HPW183" s="21"/>
      <c r="HPX183" s="21"/>
      <c r="HPY183" s="21"/>
      <c r="HPZ183" s="21"/>
      <c r="HQA183" s="21"/>
      <c r="HQB183" s="21"/>
      <c r="HQC183" s="21"/>
      <c r="HQD183" s="21"/>
      <c r="HQE183" s="21"/>
      <c r="HQF183" s="21"/>
      <c r="HQG183" s="21"/>
      <c r="HQH183" s="21"/>
      <c r="HQI183" s="21"/>
      <c r="HQJ183" s="21"/>
      <c r="HQK183" s="21"/>
      <c r="HQL183" s="21"/>
      <c r="HQM183" s="21"/>
      <c r="HQN183" s="21"/>
      <c r="HQO183" s="21"/>
      <c r="HQP183" s="21"/>
      <c r="HQQ183" s="21"/>
      <c r="HQR183" s="21"/>
      <c r="HQS183" s="21"/>
      <c r="HQT183" s="21"/>
      <c r="HQU183" s="21"/>
      <c r="HQV183" s="21"/>
      <c r="HQW183" s="21"/>
      <c r="HQX183" s="21"/>
      <c r="HQY183" s="21"/>
      <c r="HQZ183" s="21"/>
      <c r="HRA183" s="21"/>
      <c r="HRB183" s="21"/>
      <c r="HRC183" s="21"/>
      <c r="HRD183" s="21"/>
      <c r="HRE183" s="21"/>
      <c r="HRF183" s="21"/>
      <c r="HRG183" s="21"/>
      <c r="HRH183" s="21"/>
      <c r="HRI183" s="21"/>
      <c r="HRJ183" s="21"/>
      <c r="HRK183" s="21"/>
      <c r="HRL183" s="21"/>
      <c r="HRM183" s="21"/>
      <c r="HRN183" s="21"/>
      <c r="HRO183" s="21"/>
      <c r="HRP183" s="21"/>
      <c r="HRQ183" s="21"/>
      <c r="HRR183" s="21"/>
      <c r="HRS183" s="21"/>
      <c r="HRT183" s="21"/>
      <c r="HRU183" s="21"/>
      <c r="HRV183" s="21"/>
      <c r="HRW183" s="21"/>
      <c r="HRX183" s="21"/>
      <c r="HRY183" s="21"/>
      <c r="HRZ183" s="21"/>
      <c r="HSA183" s="21"/>
      <c r="HSB183" s="21"/>
      <c r="HSC183" s="21"/>
      <c r="HSD183" s="21"/>
      <c r="HSE183" s="21"/>
      <c r="HSF183" s="21"/>
      <c r="HSG183" s="21"/>
      <c r="HSH183" s="21"/>
      <c r="HSI183" s="21"/>
      <c r="HSJ183" s="21"/>
      <c r="HSK183" s="21"/>
      <c r="HSL183" s="21"/>
      <c r="HSM183" s="21"/>
      <c r="HSN183" s="21"/>
      <c r="HSO183" s="21"/>
      <c r="HSP183" s="21"/>
      <c r="HSQ183" s="21"/>
      <c r="HSR183" s="21"/>
      <c r="HSS183" s="21"/>
      <c r="HST183" s="21"/>
      <c r="HSU183" s="21"/>
      <c r="HSV183" s="21"/>
      <c r="HSW183" s="21"/>
      <c r="HSX183" s="21"/>
      <c r="HSY183" s="21"/>
      <c r="HSZ183" s="21"/>
      <c r="HTA183" s="21"/>
      <c r="HTB183" s="21"/>
      <c r="HTC183" s="21"/>
      <c r="HTD183" s="21"/>
      <c r="HTE183" s="21"/>
      <c r="HTF183" s="21"/>
      <c r="HTG183" s="21"/>
      <c r="HTH183" s="21"/>
      <c r="HTI183" s="21"/>
      <c r="HTJ183" s="21"/>
      <c r="HTK183" s="21"/>
      <c r="HTL183" s="21"/>
      <c r="HTM183" s="21"/>
      <c r="HTN183" s="21"/>
      <c r="HTO183" s="21"/>
      <c r="HTP183" s="21"/>
      <c r="HTQ183" s="21"/>
      <c r="HTR183" s="21"/>
      <c r="HTS183" s="21"/>
      <c r="HTT183" s="21"/>
      <c r="HTU183" s="21"/>
      <c r="HTV183" s="21"/>
      <c r="HTW183" s="21"/>
      <c r="HTX183" s="21"/>
      <c r="HTY183" s="21"/>
      <c r="HTZ183" s="21"/>
      <c r="HUA183" s="21"/>
      <c r="HUB183" s="21"/>
      <c r="HUC183" s="21"/>
      <c r="HUD183" s="21"/>
      <c r="HUE183" s="21"/>
      <c r="HUF183" s="21"/>
      <c r="HUG183" s="21"/>
      <c r="HUH183" s="21"/>
      <c r="HUI183" s="21"/>
      <c r="HUJ183" s="21"/>
      <c r="HUK183" s="21"/>
      <c r="HUL183" s="21"/>
      <c r="HUM183" s="21"/>
      <c r="HUN183" s="21"/>
      <c r="HUO183" s="21"/>
      <c r="HUP183" s="21"/>
      <c r="HUQ183" s="21"/>
      <c r="HUR183" s="21"/>
      <c r="HUS183" s="21"/>
      <c r="HUT183" s="21"/>
      <c r="HUU183" s="21"/>
      <c r="HUV183" s="21"/>
      <c r="HUW183" s="21"/>
      <c r="HUX183" s="21"/>
      <c r="HUY183" s="21"/>
      <c r="HUZ183" s="21"/>
      <c r="HVA183" s="21"/>
      <c r="HVB183" s="21"/>
      <c r="HVC183" s="21"/>
      <c r="HVD183" s="21"/>
      <c r="HVE183" s="21"/>
      <c r="HVF183" s="21"/>
      <c r="HVG183" s="21"/>
      <c r="HVH183" s="21"/>
      <c r="HVI183" s="21"/>
      <c r="HVJ183" s="21"/>
      <c r="HVK183" s="21"/>
      <c r="HVL183" s="21"/>
      <c r="HVM183" s="21"/>
      <c r="HVN183" s="21"/>
      <c r="HVO183" s="21"/>
      <c r="HVP183" s="21"/>
      <c r="HVQ183" s="21"/>
      <c r="HVR183" s="21"/>
      <c r="HVS183" s="21"/>
      <c r="HVT183" s="21"/>
      <c r="HVU183" s="21"/>
      <c r="HVV183" s="21"/>
      <c r="HVW183" s="21"/>
      <c r="HVX183" s="21"/>
      <c r="HVY183" s="21"/>
      <c r="HVZ183" s="21"/>
      <c r="HWA183" s="21"/>
      <c r="HWB183" s="21"/>
      <c r="HWC183" s="21"/>
      <c r="HWD183" s="21"/>
      <c r="HWE183" s="21"/>
      <c r="HWF183" s="21"/>
      <c r="HWG183" s="21"/>
      <c r="HWH183" s="21"/>
      <c r="HWI183" s="21"/>
      <c r="HWJ183" s="21"/>
      <c r="HWK183" s="21"/>
      <c r="HWL183" s="21"/>
      <c r="HWM183" s="21"/>
      <c r="HWN183" s="21"/>
      <c r="HWO183" s="21"/>
      <c r="HWP183" s="21"/>
      <c r="HWQ183" s="21"/>
      <c r="HWR183" s="21"/>
      <c r="HWS183" s="21"/>
      <c r="HWT183" s="21"/>
      <c r="HWU183" s="21"/>
      <c r="HWV183" s="21"/>
      <c r="HWW183" s="21"/>
      <c r="HWX183" s="21"/>
      <c r="HWY183" s="21"/>
      <c r="HWZ183" s="21"/>
      <c r="HXA183" s="21"/>
      <c r="HXB183" s="21"/>
      <c r="HXC183" s="21"/>
      <c r="HXD183" s="21"/>
      <c r="HXE183" s="21"/>
      <c r="HXF183" s="21"/>
      <c r="HXG183" s="21"/>
      <c r="HXH183" s="21"/>
      <c r="HXI183" s="21"/>
      <c r="HXJ183" s="21"/>
      <c r="HXK183" s="21"/>
      <c r="HXL183" s="21"/>
      <c r="HXM183" s="21"/>
      <c r="HXN183" s="21"/>
      <c r="HXO183" s="21"/>
      <c r="HXP183" s="21"/>
      <c r="HXQ183" s="21"/>
      <c r="HXR183" s="21"/>
      <c r="HXS183" s="21"/>
      <c r="HXT183" s="21"/>
      <c r="HXU183" s="21"/>
      <c r="HXV183" s="21"/>
      <c r="HXW183" s="21"/>
      <c r="HXX183" s="21"/>
      <c r="HXY183" s="21"/>
      <c r="HXZ183" s="21"/>
      <c r="HYA183" s="21"/>
      <c r="HYB183" s="21"/>
      <c r="HYC183" s="21"/>
      <c r="HYD183" s="21"/>
      <c r="HYE183" s="21"/>
      <c r="HYF183" s="21"/>
      <c r="HYG183" s="21"/>
      <c r="HYH183" s="21"/>
      <c r="HYI183" s="21"/>
      <c r="HYJ183" s="21"/>
      <c r="HYK183" s="21"/>
      <c r="HYL183" s="21"/>
      <c r="HYM183" s="21"/>
      <c r="HYN183" s="21"/>
      <c r="HYO183" s="21"/>
      <c r="HYP183" s="21"/>
      <c r="HYQ183" s="21"/>
      <c r="HYR183" s="21"/>
      <c r="HYS183" s="21"/>
      <c r="HYT183" s="21"/>
      <c r="HYU183" s="21"/>
      <c r="HYV183" s="21"/>
      <c r="HYW183" s="21"/>
      <c r="HYX183" s="21"/>
      <c r="HYY183" s="21"/>
      <c r="HYZ183" s="21"/>
      <c r="HZA183" s="21"/>
      <c r="HZB183" s="21"/>
      <c r="HZC183" s="21"/>
      <c r="HZD183" s="21"/>
      <c r="HZE183" s="21"/>
      <c r="HZF183" s="21"/>
      <c r="HZG183" s="21"/>
      <c r="HZH183" s="21"/>
      <c r="HZI183" s="21"/>
      <c r="HZJ183" s="21"/>
      <c r="HZK183" s="21"/>
      <c r="HZL183" s="21"/>
      <c r="HZM183" s="21"/>
      <c r="HZN183" s="21"/>
      <c r="HZO183" s="21"/>
      <c r="HZP183" s="21"/>
      <c r="HZQ183" s="21"/>
      <c r="HZR183" s="21"/>
      <c r="HZS183" s="21"/>
      <c r="HZT183" s="21"/>
      <c r="HZU183" s="21"/>
      <c r="HZV183" s="21"/>
      <c r="HZW183" s="21"/>
      <c r="HZX183" s="21"/>
      <c r="HZY183" s="21"/>
      <c r="HZZ183" s="21"/>
      <c r="IAA183" s="21"/>
      <c r="IAB183" s="21"/>
      <c r="IAC183" s="21"/>
      <c r="IAD183" s="21"/>
      <c r="IAE183" s="21"/>
      <c r="IAF183" s="21"/>
      <c r="IAG183" s="21"/>
      <c r="IAH183" s="21"/>
      <c r="IAI183" s="21"/>
      <c r="IAJ183" s="21"/>
      <c r="IAK183" s="21"/>
      <c r="IAL183" s="21"/>
      <c r="IAM183" s="21"/>
      <c r="IAN183" s="21"/>
      <c r="IAO183" s="21"/>
      <c r="IAP183" s="21"/>
      <c r="IAQ183" s="21"/>
      <c r="IAR183" s="21"/>
      <c r="IAS183" s="21"/>
      <c r="IAT183" s="21"/>
      <c r="IAU183" s="21"/>
      <c r="IAV183" s="21"/>
      <c r="IAW183" s="21"/>
      <c r="IAX183" s="21"/>
      <c r="IAY183" s="21"/>
      <c r="IAZ183" s="21"/>
      <c r="IBA183" s="21"/>
      <c r="IBB183" s="21"/>
      <c r="IBC183" s="21"/>
      <c r="IBD183" s="21"/>
      <c r="IBE183" s="21"/>
      <c r="IBF183" s="21"/>
      <c r="IBG183" s="21"/>
      <c r="IBH183" s="21"/>
      <c r="IBI183" s="21"/>
      <c r="IBJ183" s="21"/>
      <c r="IBK183" s="21"/>
      <c r="IBL183" s="21"/>
      <c r="IBM183" s="21"/>
      <c r="IBN183" s="21"/>
      <c r="IBO183" s="21"/>
      <c r="IBP183" s="21"/>
      <c r="IBQ183" s="21"/>
      <c r="IBR183" s="21"/>
      <c r="IBS183" s="21"/>
      <c r="IBT183" s="21"/>
      <c r="IBU183" s="21"/>
      <c r="IBV183" s="21"/>
      <c r="IBW183" s="21"/>
      <c r="IBX183" s="21"/>
      <c r="IBY183" s="21"/>
      <c r="IBZ183" s="21"/>
      <c r="ICA183" s="21"/>
      <c r="ICB183" s="21"/>
      <c r="ICC183" s="21"/>
      <c r="ICD183" s="21"/>
      <c r="ICE183" s="21"/>
      <c r="ICF183" s="21"/>
      <c r="ICG183" s="21"/>
      <c r="ICH183" s="21"/>
      <c r="ICI183" s="21"/>
      <c r="ICJ183" s="21"/>
      <c r="ICK183" s="21"/>
      <c r="ICL183" s="21"/>
      <c r="ICM183" s="21"/>
      <c r="ICN183" s="21"/>
      <c r="ICO183" s="21"/>
      <c r="ICP183" s="21"/>
      <c r="ICQ183" s="21"/>
      <c r="ICR183" s="21"/>
      <c r="ICS183" s="21"/>
      <c r="ICT183" s="21"/>
      <c r="ICU183" s="21"/>
      <c r="ICV183" s="21"/>
      <c r="ICW183" s="21"/>
      <c r="ICX183" s="21"/>
      <c r="ICY183" s="21"/>
      <c r="ICZ183" s="21"/>
      <c r="IDA183" s="21"/>
      <c r="IDB183" s="21"/>
      <c r="IDC183" s="21"/>
      <c r="IDD183" s="21"/>
      <c r="IDE183" s="21"/>
      <c r="IDF183" s="21"/>
      <c r="IDG183" s="21"/>
      <c r="IDH183" s="21"/>
      <c r="IDI183" s="21"/>
      <c r="IDJ183" s="21"/>
      <c r="IDK183" s="21"/>
      <c r="IDL183" s="21"/>
      <c r="IDM183" s="21"/>
      <c r="IDN183" s="21"/>
      <c r="IDO183" s="21"/>
      <c r="IDP183" s="21"/>
      <c r="IDQ183" s="21"/>
      <c r="IDR183" s="21"/>
      <c r="IDS183" s="21"/>
      <c r="IDT183" s="21"/>
      <c r="IDU183" s="21"/>
      <c r="IDV183" s="21"/>
      <c r="IDW183" s="21"/>
      <c r="IDX183" s="21"/>
      <c r="IDY183" s="21"/>
      <c r="IDZ183" s="21"/>
      <c r="IEA183" s="21"/>
      <c r="IEB183" s="21"/>
      <c r="IEC183" s="21"/>
      <c r="IED183" s="21"/>
      <c r="IEE183" s="21"/>
      <c r="IEF183" s="21"/>
      <c r="IEG183" s="21"/>
      <c r="IEH183" s="21"/>
      <c r="IEI183" s="21"/>
      <c r="IEJ183" s="21"/>
      <c r="IEK183" s="21"/>
      <c r="IEL183" s="21"/>
      <c r="IEM183" s="21"/>
      <c r="IEN183" s="21"/>
      <c r="IEO183" s="21"/>
      <c r="IEP183" s="21"/>
      <c r="IEQ183" s="21"/>
      <c r="IER183" s="21"/>
      <c r="IES183" s="21"/>
      <c r="IET183" s="21"/>
      <c r="IEU183" s="21"/>
      <c r="IEV183" s="21"/>
      <c r="IEW183" s="21"/>
      <c r="IEX183" s="21"/>
      <c r="IEY183" s="21"/>
      <c r="IEZ183" s="21"/>
      <c r="IFA183" s="21"/>
      <c r="IFB183" s="21"/>
      <c r="IFC183" s="21"/>
      <c r="IFD183" s="21"/>
      <c r="IFE183" s="21"/>
      <c r="IFF183" s="21"/>
      <c r="IFG183" s="21"/>
      <c r="IFH183" s="21"/>
      <c r="IFI183" s="21"/>
      <c r="IFJ183" s="21"/>
      <c r="IFK183" s="21"/>
      <c r="IFL183" s="21"/>
      <c r="IFM183" s="21"/>
      <c r="IFN183" s="21"/>
      <c r="IFO183" s="21"/>
      <c r="IFP183" s="21"/>
      <c r="IFQ183" s="21"/>
      <c r="IFR183" s="21"/>
      <c r="IFS183" s="21"/>
      <c r="IFT183" s="21"/>
      <c r="IFU183" s="21"/>
      <c r="IFV183" s="21"/>
      <c r="IFW183" s="21"/>
      <c r="IFX183" s="21"/>
      <c r="IFY183" s="21"/>
      <c r="IFZ183" s="21"/>
      <c r="IGA183" s="21"/>
      <c r="IGB183" s="21"/>
      <c r="IGC183" s="21"/>
      <c r="IGD183" s="21"/>
      <c r="IGE183" s="21"/>
      <c r="IGF183" s="21"/>
      <c r="IGG183" s="21"/>
      <c r="IGH183" s="21"/>
      <c r="IGI183" s="21"/>
      <c r="IGJ183" s="21"/>
      <c r="IGK183" s="21"/>
      <c r="IGL183" s="21"/>
      <c r="IGM183" s="21"/>
      <c r="IGN183" s="21"/>
      <c r="IGO183" s="21"/>
      <c r="IGP183" s="21"/>
      <c r="IGQ183" s="21"/>
      <c r="IGR183" s="21"/>
      <c r="IGS183" s="21"/>
      <c r="IGT183" s="21"/>
      <c r="IGU183" s="21"/>
      <c r="IGV183" s="21"/>
      <c r="IGW183" s="21"/>
      <c r="IGX183" s="21"/>
      <c r="IGY183" s="21"/>
      <c r="IGZ183" s="21"/>
      <c r="IHA183" s="21"/>
      <c r="IHB183" s="21"/>
      <c r="IHC183" s="21"/>
      <c r="IHD183" s="21"/>
      <c r="IHE183" s="21"/>
      <c r="IHF183" s="21"/>
      <c r="IHG183" s="21"/>
      <c r="IHH183" s="21"/>
      <c r="IHI183" s="21"/>
      <c r="IHJ183" s="21"/>
      <c r="IHK183" s="21"/>
      <c r="IHL183" s="21"/>
      <c r="IHM183" s="21"/>
      <c r="IHN183" s="21"/>
      <c r="IHO183" s="21"/>
      <c r="IHP183" s="21"/>
      <c r="IHQ183" s="21"/>
      <c r="IHR183" s="21"/>
      <c r="IHS183" s="21"/>
      <c r="IHT183" s="21"/>
      <c r="IHU183" s="21"/>
      <c r="IHV183" s="21"/>
      <c r="IHW183" s="21"/>
      <c r="IHX183" s="21"/>
      <c r="IHY183" s="21"/>
      <c r="IHZ183" s="21"/>
      <c r="IIA183" s="21"/>
      <c r="IIB183" s="21"/>
      <c r="IIC183" s="21"/>
      <c r="IID183" s="21"/>
      <c r="IIE183" s="21"/>
      <c r="IIF183" s="21"/>
      <c r="IIG183" s="21"/>
      <c r="IIH183" s="21"/>
      <c r="III183" s="21"/>
      <c r="IIJ183" s="21"/>
      <c r="IIK183" s="21"/>
      <c r="IIL183" s="21"/>
      <c r="IIM183" s="21"/>
      <c r="IIN183" s="21"/>
      <c r="IIO183" s="21"/>
      <c r="IIP183" s="21"/>
      <c r="IIQ183" s="21"/>
      <c r="IIR183" s="21"/>
      <c r="IIS183" s="21"/>
      <c r="IIT183" s="21"/>
      <c r="IIU183" s="21"/>
      <c r="IIV183" s="21"/>
      <c r="IIW183" s="21"/>
      <c r="IIX183" s="21"/>
      <c r="IIY183" s="21"/>
      <c r="IIZ183" s="21"/>
      <c r="IJA183" s="21"/>
      <c r="IJB183" s="21"/>
      <c r="IJC183" s="21"/>
      <c r="IJD183" s="21"/>
      <c r="IJE183" s="21"/>
      <c r="IJF183" s="21"/>
      <c r="IJG183" s="21"/>
      <c r="IJH183" s="21"/>
      <c r="IJI183" s="21"/>
      <c r="IJJ183" s="21"/>
      <c r="IJK183" s="21"/>
      <c r="IJL183" s="21"/>
      <c r="IJM183" s="21"/>
      <c r="IJN183" s="21"/>
      <c r="IJO183" s="21"/>
      <c r="IJP183" s="21"/>
      <c r="IJQ183" s="21"/>
      <c r="IJR183" s="21"/>
      <c r="IJS183" s="21"/>
      <c r="IJT183" s="21"/>
      <c r="IJU183" s="21"/>
      <c r="IJV183" s="21"/>
      <c r="IJW183" s="21"/>
      <c r="IJX183" s="21"/>
      <c r="IJY183" s="21"/>
      <c r="IJZ183" s="21"/>
      <c r="IKA183" s="21"/>
      <c r="IKB183" s="21"/>
      <c r="IKC183" s="21"/>
      <c r="IKD183" s="21"/>
      <c r="IKE183" s="21"/>
      <c r="IKF183" s="21"/>
      <c r="IKG183" s="21"/>
      <c r="IKH183" s="21"/>
      <c r="IKI183" s="21"/>
      <c r="IKJ183" s="21"/>
      <c r="IKK183" s="21"/>
      <c r="IKL183" s="21"/>
      <c r="IKM183" s="21"/>
      <c r="IKN183" s="21"/>
      <c r="IKO183" s="21"/>
      <c r="IKP183" s="21"/>
      <c r="IKQ183" s="21"/>
      <c r="IKR183" s="21"/>
      <c r="IKS183" s="21"/>
      <c r="IKT183" s="21"/>
      <c r="IKU183" s="21"/>
      <c r="IKV183" s="21"/>
      <c r="IKW183" s="21"/>
      <c r="IKX183" s="21"/>
      <c r="IKY183" s="21"/>
      <c r="IKZ183" s="21"/>
      <c r="ILA183" s="21"/>
      <c r="ILB183" s="21"/>
      <c r="ILC183" s="21"/>
      <c r="ILD183" s="21"/>
      <c r="ILE183" s="21"/>
      <c r="ILF183" s="21"/>
      <c r="ILG183" s="21"/>
      <c r="ILH183" s="21"/>
      <c r="ILI183" s="21"/>
      <c r="ILJ183" s="21"/>
      <c r="ILK183" s="21"/>
      <c r="ILL183" s="21"/>
      <c r="ILM183" s="21"/>
      <c r="ILN183" s="21"/>
      <c r="ILO183" s="21"/>
      <c r="ILP183" s="21"/>
      <c r="ILQ183" s="21"/>
      <c r="ILR183" s="21"/>
      <c r="ILS183" s="21"/>
      <c r="ILT183" s="21"/>
      <c r="ILU183" s="21"/>
      <c r="ILV183" s="21"/>
      <c r="ILW183" s="21"/>
      <c r="ILX183" s="21"/>
      <c r="ILY183" s="21"/>
      <c r="ILZ183" s="21"/>
      <c r="IMA183" s="21"/>
      <c r="IMB183" s="21"/>
      <c r="IMC183" s="21"/>
      <c r="IMD183" s="21"/>
      <c r="IME183" s="21"/>
      <c r="IMF183" s="21"/>
      <c r="IMG183" s="21"/>
      <c r="IMH183" s="21"/>
      <c r="IMI183" s="21"/>
      <c r="IMJ183" s="21"/>
      <c r="IMK183" s="21"/>
      <c r="IML183" s="21"/>
      <c r="IMM183" s="21"/>
      <c r="IMN183" s="21"/>
      <c r="IMO183" s="21"/>
      <c r="IMP183" s="21"/>
      <c r="IMQ183" s="21"/>
      <c r="IMR183" s="21"/>
      <c r="IMS183" s="21"/>
      <c r="IMT183" s="21"/>
      <c r="IMU183" s="21"/>
      <c r="IMV183" s="21"/>
      <c r="IMW183" s="21"/>
      <c r="IMX183" s="21"/>
      <c r="IMY183" s="21"/>
      <c r="IMZ183" s="21"/>
      <c r="INA183" s="21"/>
      <c r="INB183" s="21"/>
      <c r="INC183" s="21"/>
      <c r="IND183" s="21"/>
      <c r="INE183" s="21"/>
      <c r="INF183" s="21"/>
      <c r="ING183" s="21"/>
      <c r="INH183" s="21"/>
      <c r="INI183" s="21"/>
      <c r="INJ183" s="21"/>
      <c r="INK183" s="21"/>
      <c r="INL183" s="21"/>
      <c r="INM183" s="21"/>
      <c r="INN183" s="21"/>
      <c r="INO183" s="21"/>
      <c r="INP183" s="21"/>
      <c r="INQ183" s="21"/>
      <c r="INR183" s="21"/>
      <c r="INS183" s="21"/>
      <c r="INT183" s="21"/>
      <c r="INU183" s="21"/>
      <c r="INV183" s="21"/>
      <c r="INW183" s="21"/>
      <c r="INX183" s="21"/>
      <c r="INY183" s="21"/>
      <c r="INZ183" s="21"/>
      <c r="IOA183" s="21"/>
      <c r="IOB183" s="21"/>
      <c r="IOC183" s="21"/>
      <c r="IOD183" s="21"/>
      <c r="IOE183" s="21"/>
      <c r="IOF183" s="21"/>
      <c r="IOG183" s="21"/>
      <c r="IOH183" s="21"/>
      <c r="IOI183" s="21"/>
      <c r="IOJ183" s="21"/>
      <c r="IOK183" s="21"/>
      <c r="IOL183" s="21"/>
      <c r="IOM183" s="21"/>
      <c r="ION183" s="21"/>
      <c r="IOO183" s="21"/>
      <c r="IOP183" s="21"/>
      <c r="IOQ183" s="21"/>
      <c r="IOR183" s="21"/>
      <c r="IOS183" s="21"/>
      <c r="IOT183" s="21"/>
      <c r="IOU183" s="21"/>
      <c r="IOV183" s="21"/>
      <c r="IOW183" s="21"/>
      <c r="IOX183" s="21"/>
      <c r="IOY183" s="21"/>
      <c r="IOZ183" s="21"/>
      <c r="IPA183" s="21"/>
      <c r="IPB183" s="21"/>
      <c r="IPC183" s="21"/>
      <c r="IPD183" s="21"/>
      <c r="IPE183" s="21"/>
      <c r="IPF183" s="21"/>
      <c r="IPG183" s="21"/>
      <c r="IPH183" s="21"/>
      <c r="IPI183" s="21"/>
      <c r="IPJ183" s="21"/>
      <c r="IPK183" s="21"/>
      <c r="IPL183" s="21"/>
      <c r="IPM183" s="21"/>
      <c r="IPN183" s="21"/>
      <c r="IPO183" s="21"/>
      <c r="IPP183" s="21"/>
      <c r="IPQ183" s="21"/>
      <c r="IPR183" s="21"/>
      <c r="IPS183" s="21"/>
      <c r="IPT183" s="21"/>
      <c r="IPU183" s="21"/>
      <c r="IPV183" s="21"/>
      <c r="IPW183" s="21"/>
      <c r="IPX183" s="21"/>
      <c r="IPY183" s="21"/>
      <c r="IPZ183" s="21"/>
      <c r="IQA183" s="21"/>
      <c r="IQB183" s="21"/>
      <c r="IQC183" s="21"/>
      <c r="IQD183" s="21"/>
      <c r="IQE183" s="21"/>
      <c r="IQF183" s="21"/>
      <c r="IQG183" s="21"/>
      <c r="IQH183" s="21"/>
      <c r="IQI183" s="21"/>
      <c r="IQJ183" s="21"/>
      <c r="IQK183" s="21"/>
      <c r="IQL183" s="21"/>
      <c r="IQM183" s="21"/>
      <c r="IQN183" s="21"/>
      <c r="IQO183" s="21"/>
      <c r="IQP183" s="21"/>
      <c r="IQQ183" s="21"/>
      <c r="IQR183" s="21"/>
      <c r="IQS183" s="21"/>
      <c r="IQT183" s="21"/>
      <c r="IQU183" s="21"/>
      <c r="IQV183" s="21"/>
      <c r="IQW183" s="21"/>
      <c r="IQX183" s="21"/>
      <c r="IQY183" s="21"/>
      <c r="IQZ183" s="21"/>
      <c r="IRA183" s="21"/>
      <c r="IRB183" s="21"/>
      <c r="IRC183" s="21"/>
      <c r="IRD183" s="21"/>
      <c r="IRE183" s="21"/>
      <c r="IRF183" s="21"/>
      <c r="IRG183" s="21"/>
      <c r="IRH183" s="21"/>
      <c r="IRI183" s="21"/>
      <c r="IRJ183" s="21"/>
      <c r="IRK183" s="21"/>
      <c r="IRL183" s="21"/>
      <c r="IRM183" s="21"/>
      <c r="IRN183" s="21"/>
      <c r="IRO183" s="21"/>
      <c r="IRP183" s="21"/>
      <c r="IRQ183" s="21"/>
      <c r="IRR183" s="21"/>
      <c r="IRS183" s="21"/>
      <c r="IRT183" s="21"/>
      <c r="IRU183" s="21"/>
      <c r="IRV183" s="21"/>
      <c r="IRW183" s="21"/>
      <c r="IRX183" s="21"/>
      <c r="IRY183" s="21"/>
      <c r="IRZ183" s="21"/>
      <c r="ISA183" s="21"/>
      <c r="ISB183" s="21"/>
      <c r="ISC183" s="21"/>
      <c r="ISD183" s="21"/>
      <c r="ISE183" s="21"/>
      <c r="ISF183" s="21"/>
      <c r="ISG183" s="21"/>
      <c r="ISH183" s="21"/>
      <c r="ISI183" s="21"/>
      <c r="ISJ183" s="21"/>
      <c r="ISK183" s="21"/>
      <c r="ISL183" s="21"/>
      <c r="ISM183" s="21"/>
      <c r="ISN183" s="21"/>
      <c r="ISO183" s="21"/>
      <c r="ISP183" s="21"/>
      <c r="ISQ183" s="21"/>
      <c r="ISR183" s="21"/>
      <c r="ISS183" s="21"/>
      <c r="IST183" s="21"/>
      <c r="ISU183" s="21"/>
      <c r="ISV183" s="21"/>
      <c r="ISW183" s="21"/>
      <c r="ISX183" s="21"/>
      <c r="ISY183" s="21"/>
      <c r="ISZ183" s="21"/>
      <c r="ITA183" s="21"/>
      <c r="ITB183" s="21"/>
      <c r="ITC183" s="21"/>
      <c r="ITD183" s="21"/>
      <c r="ITE183" s="21"/>
      <c r="ITF183" s="21"/>
      <c r="ITG183" s="21"/>
      <c r="ITH183" s="21"/>
      <c r="ITI183" s="21"/>
      <c r="ITJ183" s="21"/>
      <c r="ITK183" s="21"/>
      <c r="ITL183" s="21"/>
      <c r="ITM183" s="21"/>
      <c r="ITN183" s="21"/>
      <c r="ITO183" s="21"/>
      <c r="ITP183" s="21"/>
      <c r="ITQ183" s="21"/>
      <c r="ITR183" s="21"/>
      <c r="ITS183" s="21"/>
      <c r="ITT183" s="21"/>
      <c r="ITU183" s="21"/>
      <c r="ITV183" s="21"/>
      <c r="ITW183" s="21"/>
      <c r="ITX183" s="21"/>
      <c r="ITY183" s="21"/>
      <c r="ITZ183" s="21"/>
      <c r="IUA183" s="21"/>
      <c r="IUB183" s="21"/>
      <c r="IUC183" s="21"/>
      <c r="IUD183" s="21"/>
      <c r="IUE183" s="21"/>
      <c r="IUF183" s="21"/>
      <c r="IUG183" s="21"/>
      <c r="IUH183" s="21"/>
      <c r="IUI183" s="21"/>
      <c r="IUJ183" s="21"/>
      <c r="IUK183" s="21"/>
      <c r="IUL183" s="21"/>
      <c r="IUM183" s="21"/>
      <c r="IUN183" s="21"/>
      <c r="IUO183" s="21"/>
      <c r="IUP183" s="21"/>
      <c r="IUQ183" s="21"/>
      <c r="IUR183" s="21"/>
      <c r="IUS183" s="21"/>
      <c r="IUT183" s="21"/>
      <c r="IUU183" s="21"/>
      <c r="IUV183" s="21"/>
      <c r="IUW183" s="21"/>
      <c r="IUX183" s="21"/>
      <c r="IUY183" s="21"/>
      <c r="IUZ183" s="21"/>
      <c r="IVA183" s="21"/>
      <c r="IVB183" s="21"/>
      <c r="IVC183" s="21"/>
      <c r="IVD183" s="21"/>
      <c r="IVE183" s="21"/>
      <c r="IVF183" s="21"/>
      <c r="IVG183" s="21"/>
      <c r="IVH183" s="21"/>
      <c r="IVI183" s="21"/>
      <c r="IVJ183" s="21"/>
      <c r="IVK183" s="21"/>
      <c r="IVL183" s="21"/>
      <c r="IVM183" s="21"/>
      <c r="IVN183" s="21"/>
      <c r="IVO183" s="21"/>
      <c r="IVP183" s="21"/>
      <c r="IVQ183" s="21"/>
      <c r="IVR183" s="21"/>
      <c r="IVS183" s="21"/>
      <c r="IVT183" s="21"/>
      <c r="IVU183" s="21"/>
      <c r="IVV183" s="21"/>
      <c r="IVW183" s="21"/>
      <c r="IVX183" s="21"/>
      <c r="IVY183" s="21"/>
      <c r="IVZ183" s="21"/>
      <c r="IWA183" s="21"/>
      <c r="IWB183" s="21"/>
      <c r="IWC183" s="21"/>
      <c r="IWD183" s="21"/>
      <c r="IWE183" s="21"/>
      <c r="IWF183" s="21"/>
      <c r="IWG183" s="21"/>
      <c r="IWH183" s="21"/>
      <c r="IWI183" s="21"/>
      <c r="IWJ183" s="21"/>
      <c r="IWK183" s="21"/>
      <c r="IWL183" s="21"/>
      <c r="IWM183" s="21"/>
      <c r="IWN183" s="21"/>
      <c r="IWO183" s="21"/>
      <c r="IWP183" s="21"/>
      <c r="IWQ183" s="21"/>
      <c r="IWR183" s="21"/>
      <c r="IWS183" s="21"/>
      <c r="IWT183" s="21"/>
      <c r="IWU183" s="21"/>
      <c r="IWV183" s="21"/>
      <c r="IWW183" s="21"/>
      <c r="IWX183" s="21"/>
      <c r="IWY183" s="21"/>
      <c r="IWZ183" s="21"/>
      <c r="IXA183" s="21"/>
      <c r="IXB183" s="21"/>
      <c r="IXC183" s="21"/>
      <c r="IXD183" s="21"/>
      <c r="IXE183" s="21"/>
      <c r="IXF183" s="21"/>
      <c r="IXG183" s="21"/>
      <c r="IXH183" s="21"/>
      <c r="IXI183" s="21"/>
      <c r="IXJ183" s="21"/>
      <c r="IXK183" s="21"/>
      <c r="IXL183" s="21"/>
      <c r="IXM183" s="21"/>
      <c r="IXN183" s="21"/>
      <c r="IXO183" s="21"/>
      <c r="IXP183" s="21"/>
      <c r="IXQ183" s="21"/>
      <c r="IXR183" s="21"/>
      <c r="IXS183" s="21"/>
      <c r="IXT183" s="21"/>
      <c r="IXU183" s="21"/>
      <c r="IXV183" s="21"/>
      <c r="IXW183" s="21"/>
      <c r="IXX183" s="21"/>
      <c r="IXY183" s="21"/>
      <c r="IXZ183" s="21"/>
      <c r="IYA183" s="21"/>
      <c r="IYB183" s="21"/>
      <c r="IYC183" s="21"/>
      <c r="IYD183" s="21"/>
      <c r="IYE183" s="21"/>
      <c r="IYF183" s="21"/>
      <c r="IYG183" s="21"/>
      <c r="IYH183" s="21"/>
      <c r="IYI183" s="21"/>
      <c r="IYJ183" s="21"/>
      <c r="IYK183" s="21"/>
      <c r="IYL183" s="21"/>
      <c r="IYM183" s="21"/>
      <c r="IYN183" s="21"/>
      <c r="IYO183" s="21"/>
      <c r="IYP183" s="21"/>
      <c r="IYQ183" s="21"/>
      <c r="IYR183" s="21"/>
      <c r="IYS183" s="21"/>
      <c r="IYT183" s="21"/>
      <c r="IYU183" s="21"/>
      <c r="IYV183" s="21"/>
      <c r="IYW183" s="21"/>
      <c r="IYX183" s="21"/>
      <c r="IYY183" s="21"/>
      <c r="IYZ183" s="21"/>
      <c r="IZA183" s="21"/>
      <c r="IZB183" s="21"/>
      <c r="IZC183" s="21"/>
      <c r="IZD183" s="21"/>
      <c r="IZE183" s="21"/>
      <c r="IZF183" s="21"/>
      <c r="IZG183" s="21"/>
      <c r="IZH183" s="21"/>
      <c r="IZI183" s="21"/>
      <c r="IZJ183" s="21"/>
      <c r="IZK183" s="21"/>
      <c r="IZL183" s="21"/>
      <c r="IZM183" s="21"/>
      <c r="IZN183" s="21"/>
      <c r="IZO183" s="21"/>
      <c r="IZP183" s="21"/>
      <c r="IZQ183" s="21"/>
      <c r="IZR183" s="21"/>
      <c r="IZS183" s="21"/>
      <c r="IZT183" s="21"/>
      <c r="IZU183" s="21"/>
      <c r="IZV183" s="21"/>
      <c r="IZW183" s="21"/>
      <c r="IZX183" s="21"/>
      <c r="IZY183" s="21"/>
      <c r="IZZ183" s="21"/>
      <c r="JAA183" s="21"/>
      <c r="JAB183" s="21"/>
      <c r="JAC183" s="21"/>
      <c r="JAD183" s="21"/>
      <c r="JAE183" s="21"/>
      <c r="JAF183" s="21"/>
      <c r="JAG183" s="21"/>
      <c r="JAH183" s="21"/>
      <c r="JAI183" s="21"/>
      <c r="JAJ183" s="21"/>
      <c r="JAK183" s="21"/>
      <c r="JAL183" s="21"/>
      <c r="JAM183" s="21"/>
      <c r="JAN183" s="21"/>
      <c r="JAO183" s="21"/>
      <c r="JAP183" s="21"/>
      <c r="JAQ183" s="21"/>
      <c r="JAR183" s="21"/>
      <c r="JAS183" s="21"/>
      <c r="JAT183" s="21"/>
      <c r="JAU183" s="21"/>
      <c r="JAV183" s="21"/>
      <c r="JAW183" s="21"/>
      <c r="JAX183" s="21"/>
      <c r="JAY183" s="21"/>
      <c r="JAZ183" s="21"/>
      <c r="JBA183" s="21"/>
      <c r="JBB183" s="21"/>
      <c r="JBC183" s="21"/>
      <c r="JBD183" s="21"/>
      <c r="JBE183" s="21"/>
      <c r="JBF183" s="21"/>
      <c r="JBG183" s="21"/>
      <c r="JBH183" s="21"/>
      <c r="JBI183" s="21"/>
      <c r="JBJ183" s="21"/>
      <c r="JBK183" s="21"/>
      <c r="JBL183" s="21"/>
      <c r="JBM183" s="21"/>
      <c r="JBN183" s="21"/>
      <c r="JBO183" s="21"/>
      <c r="JBP183" s="21"/>
      <c r="JBQ183" s="21"/>
      <c r="JBR183" s="21"/>
      <c r="JBS183" s="21"/>
      <c r="JBT183" s="21"/>
      <c r="JBU183" s="21"/>
      <c r="JBV183" s="21"/>
      <c r="JBW183" s="21"/>
      <c r="JBX183" s="21"/>
      <c r="JBY183" s="21"/>
      <c r="JBZ183" s="21"/>
      <c r="JCA183" s="21"/>
      <c r="JCB183" s="21"/>
      <c r="JCC183" s="21"/>
      <c r="JCD183" s="21"/>
      <c r="JCE183" s="21"/>
      <c r="JCF183" s="21"/>
      <c r="JCG183" s="21"/>
      <c r="JCH183" s="21"/>
      <c r="JCI183" s="21"/>
      <c r="JCJ183" s="21"/>
      <c r="JCK183" s="21"/>
      <c r="JCL183" s="21"/>
      <c r="JCM183" s="21"/>
      <c r="JCN183" s="21"/>
      <c r="JCO183" s="21"/>
      <c r="JCP183" s="21"/>
      <c r="JCQ183" s="21"/>
      <c r="JCR183" s="21"/>
      <c r="JCS183" s="21"/>
      <c r="JCT183" s="21"/>
      <c r="JCU183" s="21"/>
      <c r="JCV183" s="21"/>
      <c r="JCW183" s="21"/>
      <c r="JCX183" s="21"/>
      <c r="JCY183" s="21"/>
      <c r="JCZ183" s="21"/>
      <c r="JDA183" s="21"/>
      <c r="JDB183" s="21"/>
      <c r="JDC183" s="21"/>
      <c r="JDD183" s="21"/>
      <c r="JDE183" s="21"/>
      <c r="JDF183" s="21"/>
      <c r="JDG183" s="21"/>
      <c r="JDH183" s="21"/>
      <c r="JDI183" s="21"/>
      <c r="JDJ183" s="21"/>
      <c r="JDK183" s="21"/>
      <c r="JDL183" s="21"/>
      <c r="JDM183" s="21"/>
      <c r="JDN183" s="21"/>
      <c r="JDO183" s="21"/>
      <c r="JDP183" s="21"/>
      <c r="JDQ183" s="21"/>
      <c r="JDR183" s="21"/>
      <c r="JDS183" s="21"/>
      <c r="JDT183" s="21"/>
      <c r="JDU183" s="21"/>
      <c r="JDV183" s="21"/>
      <c r="JDW183" s="21"/>
      <c r="JDX183" s="21"/>
      <c r="JDY183" s="21"/>
      <c r="JDZ183" s="21"/>
      <c r="JEA183" s="21"/>
      <c r="JEB183" s="21"/>
      <c r="JEC183" s="21"/>
      <c r="JED183" s="21"/>
      <c r="JEE183" s="21"/>
      <c r="JEF183" s="21"/>
      <c r="JEG183" s="21"/>
      <c r="JEH183" s="21"/>
      <c r="JEI183" s="21"/>
      <c r="JEJ183" s="21"/>
      <c r="JEK183" s="21"/>
      <c r="JEL183" s="21"/>
      <c r="JEM183" s="21"/>
      <c r="JEN183" s="21"/>
      <c r="JEO183" s="21"/>
      <c r="JEP183" s="21"/>
      <c r="JEQ183" s="21"/>
      <c r="JER183" s="21"/>
      <c r="JES183" s="21"/>
      <c r="JET183" s="21"/>
      <c r="JEU183" s="21"/>
      <c r="JEV183" s="21"/>
      <c r="JEW183" s="21"/>
      <c r="JEX183" s="21"/>
      <c r="JEY183" s="21"/>
      <c r="JEZ183" s="21"/>
      <c r="JFA183" s="21"/>
      <c r="JFB183" s="21"/>
      <c r="JFC183" s="21"/>
      <c r="JFD183" s="21"/>
      <c r="JFE183" s="21"/>
      <c r="JFF183" s="21"/>
      <c r="JFG183" s="21"/>
      <c r="JFH183" s="21"/>
      <c r="JFI183" s="21"/>
      <c r="JFJ183" s="21"/>
      <c r="JFK183" s="21"/>
      <c r="JFL183" s="21"/>
      <c r="JFM183" s="21"/>
      <c r="JFN183" s="21"/>
      <c r="JFO183" s="21"/>
      <c r="JFP183" s="21"/>
      <c r="JFQ183" s="21"/>
      <c r="JFR183" s="21"/>
      <c r="JFS183" s="21"/>
      <c r="JFT183" s="21"/>
      <c r="JFU183" s="21"/>
      <c r="JFV183" s="21"/>
      <c r="JFW183" s="21"/>
      <c r="JFX183" s="21"/>
      <c r="JFY183" s="21"/>
      <c r="JFZ183" s="21"/>
      <c r="JGA183" s="21"/>
      <c r="JGB183" s="21"/>
      <c r="JGC183" s="21"/>
      <c r="JGD183" s="21"/>
      <c r="JGE183" s="21"/>
      <c r="JGF183" s="21"/>
      <c r="JGG183" s="21"/>
      <c r="JGH183" s="21"/>
      <c r="JGI183" s="21"/>
      <c r="JGJ183" s="21"/>
      <c r="JGK183" s="21"/>
      <c r="JGL183" s="21"/>
      <c r="JGM183" s="21"/>
      <c r="JGN183" s="21"/>
      <c r="JGO183" s="21"/>
      <c r="JGP183" s="21"/>
      <c r="JGQ183" s="21"/>
      <c r="JGR183" s="21"/>
      <c r="JGS183" s="21"/>
      <c r="JGT183" s="21"/>
      <c r="JGU183" s="21"/>
      <c r="JGV183" s="21"/>
      <c r="JGW183" s="21"/>
      <c r="JGX183" s="21"/>
      <c r="JGY183" s="21"/>
      <c r="JGZ183" s="21"/>
      <c r="JHA183" s="21"/>
      <c r="JHB183" s="21"/>
      <c r="JHC183" s="21"/>
      <c r="JHD183" s="21"/>
      <c r="JHE183" s="21"/>
      <c r="JHF183" s="21"/>
      <c r="JHG183" s="21"/>
      <c r="JHH183" s="21"/>
      <c r="JHI183" s="21"/>
      <c r="JHJ183" s="21"/>
      <c r="JHK183" s="21"/>
      <c r="JHL183" s="21"/>
      <c r="JHM183" s="21"/>
      <c r="JHN183" s="21"/>
      <c r="JHO183" s="21"/>
      <c r="JHP183" s="21"/>
      <c r="JHQ183" s="21"/>
      <c r="JHR183" s="21"/>
      <c r="JHS183" s="21"/>
      <c r="JHT183" s="21"/>
      <c r="JHU183" s="21"/>
      <c r="JHV183" s="21"/>
      <c r="JHW183" s="21"/>
      <c r="JHX183" s="21"/>
      <c r="JHY183" s="21"/>
      <c r="JHZ183" s="21"/>
      <c r="JIA183" s="21"/>
      <c r="JIB183" s="21"/>
      <c r="JIC183" s="21"/>
      <c r="JID183" s="21"/>
      <c r="JIE183" s="21"/>
      <c r="JIF183" s="21"/>
      <c r="JIG183" s="21"/>
      <c r="JIH183" s="21"/>
      <c r="JII183" s="21"/>
      <c r="JIJ183" s="21"/>
      <c r="JIK183" s="21"/>
      <c r="JIL183" s="21"/>
      <c r="JIM183" s="21"/>
      <c r="JIN183" s="21"/>
      <c r="JIO183" s="21"/>
      <c r="JIP183" s="21"/>
      <c r="JIQ183" s="21"/>
      <c r="JIR183" s="21"/>
      <c r="JIS183" s="21"/>
      <c r="JIT183" s="21"/>
      <c r="JIU183" s="21"/>
      <c r="JIV183" s="21"/>
      <c r="JIW183" s="21"/>
      <c r="JIX183" s="21"/>
      <c r="JIY183" s="21"/>
      <c r="JIZ183" s="21"/>
      <c r="JJA183" s="21"/>
      <c r="JJB183" s="21"/>
      <c r="JJC183" s="21"/>
      <c r="JJD183" s="21"/>
      <c r="JJE183" s="21"/>
      <c r="JJF183" s="21"/>
      <c r="JJG183" s="21"/>
      <c r="JJH183" s="21"/>
      <c r="JJI183" s="21"/>
      <c r="JJJ183" s="21"/>
      <c r="JJK183" s="21"/>
      <c r="JJL183" s="21"/>
      <c r="JJM183" s="21"/>
      <c r="JJN183" s="21"/>
      <c r="JJO183" s="21"/>
      <c r="JJP183" s="21"/>
      <c r="JJQ183" s="21"/>
      <c r="JJR183" s="21"/>
      <c r="JJS183" s="21"/>
      <c r="JJT183" s="21"/>
      <c r="JJU183" s="21"/>
      <c r="JJV183" s="21"/>
      <c r="JJW183" s="21"/>
      <c r="JJX183" s="21"/>
      <c r="JJY183" s="21"/>
      <c r="JJZ183" s="21"/>
      <c r="JKA183" s="21"/>
      <c r="JKB183" s="21"/>
      <c r="JKC183" s="21"/>
      <c r="JKD183" s="21"/>
      <c r="JKE183" s="21"/>
      <c r="JKF183" s="21"/>
      <c r="JKG183" s="21"/>
      <c r="JKH183" s="21"/>
      <c r="JKI183" s="21"/>
      <c r="JKJ183" s="21"/>
      <c r="JKK183" s="21"/>
      <c r="JKL183" s="21"/>
      <c r="JKM183" s="21"/>
      <c r="JKN183" s="21"/>
      <c r="JKO183" s="21"/>
      <c r="JKP183" s="21"/>
      <c r="JKQ183" s="21"/>
      <c r="JKR183" s="21"/>
      <c r="JKS183" s="21"/>
      <c r="JKT183" s="21"/>
      <c r="JKU183" s="21"/>
      <c r="JKV183" s="21"/>
      <c r="JKW183" s="21"/>
      <c r="JKX183" s="21"/>
      <c r="JKY183" s="21"/>
      <c r="JKZ183" s="21"/>
      <c r="JLA183" s="21"/>
      <c r="JLB183" s="21"/>
      <c r="JLC183" s="21"/>
      <c r="JLD183" s="21"/>
      <c r="JLE183" s="21"/>
      <c r="JLF183" s="21"/>
      <c r="JLG183" s="21"/>
      <c r="JLH183" s="21"/>
      <c r="JLI183" s="21"/>
      <c r="JLJ183" s="21"/>
      <c r="JLK183" s="21"/>
      <c r="JLL183" s="21"/>
      <c r="JLM183" s="21"/>
      <c r="JLN183" s="21"/>
      <c r="JLO183" s="21"/>
      <c r="JLP183" s="21"/>
      <c r="JLQ183" s="21"/>
      <c r="JLR183" s="21"/>
      <c r="JLS183" s="21"/>
      <c r="JLT183" s="21"/>
      <c r="JLU183" s="21"/>
      <c r="JLV183" s="21"/>
      <c r="JLW183" s="21"/>
      <c r="JLX183" s="21"/>
      <c r="JLY183" s="21"/>
      <c r="JLZ183" s="21"/>
      <c r="JMA183" s="21"/>
      <c r="JMB183" s="21"/>
      <c r="JMC183" s="21"/>
      <c r="JMD183" s="21"/>
      <c r="JME183" s="21"/>
      <c r="JMF183" s="21"/>
      <c r="JMG183" s="21"/>
      <c r="JMH183" s="21"/>
      <c r="JMI183" s="21"/>
      <c r="JMJ183" s="21"/>
      <c r="JMK183" s="21"/>
      <c r="JML183" s="21"/>
      <c r="JMM183" s="21"/>
      <c r="JMN183" s="21"/>
      <c r="JMO183" s="21"/>
      <c r="JMP183" s="21"/>
      <c r="JMQ183" s="21"/>
      <c r="JMR183" s="21"/>
      <c r="JMS183" s="21"/>
      <c r="JMT183" s="21"/>
      <c r="JMU183" s="21"/>
      <c r="JMV183" s="21"/>
      <c r="JMW183" s="21"/>
      <c r="JMX183" s="21"/>
      <c r="JMY183" s="21"/>
      <c r="JMZ183" s="21"/>
      <c r="JNA183" s="21"/>
      <c r="JNB183" s="21"/>
      <c r="JNC183" s="21"/>
      <c r="JND183" s="21"/>
      <c r="JNE183" s="21"/>
      <c r="JNF183" s="21"/>
      <c r="JNG183" s="21"/>
      <c r="JNH183" s="21"/>
      <c r="JNI183" s="21"/>
      <c r="JNJ183" s="21"/>
      <c r="JNK183" s="21"/>
      <c r="JNL183" s="21"/>
      <c r="JNM183" s="21"/>
      <c r="JNN183" s="21"/>
      <c r="JNO183" s="21"/>
      <c r="JNP183" s="21"/>
      <c r="JNQ183" s="21"/>
      <c r="JNR183" s="21"/>
      <c r="JNS183" s="21"/>
      <c r="JNT183" s="21"/>
      <c r="JNU183" s="21"/>
      <c r="JNV183" s="21"/>
      <c r="JNW183" s="21"/>
      <c r="JNX183" s="21"/>
      <c r="JNY183" s="21"/>
      <c r="JNZ183" s="21"/>
      <c r="JOA183" s="21"/>
      <c r="JOB183" s="21"/>
      <c r="JOC183" s="21"/>
      <c r="JOD183" s="21"/>
      <c r="JOE183" s="21"/>
      <c r="JOF183" s="21"/>
      <c r="JOG183" s="21"/>
      <c r="JOH183" s="21"/>
      <c r="JOI183" s="21"/>
      <c r="JOJ183" s="21"/>
      <c r="JOK183" s="21"/>
      <c r="JOL183" s="21"/>
      <c r="JOM183" s="21"/>
      <c r="JON183" s="21"/>
      <c r="JOO183" s="21"/>
      <c r="JOP183" s="21"/>
      <c r="JOQ183" s="21"/>
      <c r="JOR183" s="21"/>
      <c r="JOS183" s="21"/>
      <c r="JOT183" s="21"/>
      <c r="JOU183" s="21"/>
      <c r="JOV183" s="21"/>
      <c r="JOW183" s="21"/>
      <c r="JOX183" s="21"/>
      <c r="JOY183" s="21"/>
      <c r="JOZ183" s="21"/>
      <c r="JPA183" s="21"/>
      <c r="JPB183" s="21"/>
      <c r="JPC183" s="21"/>
      <c r="JPD183" s="21"/>
      <c r="JPE183" s="21"/>
      <c r="JPF183" s="21"/>
      <c r="JPG183" s="21"/>
      <c r="JPH183" s="21"/>
      <c r="JPI183" s="21"/>
      <c r="JPJ183" s="21"/>
      <c r="JPK183" s="21"/>
      <c r="JPL183" s="21"/>
      <c r="JPM183" s="21"/>
      <c r="JPN183" s="21"/>
      <c r="JPO183" s="21"/>
      <c r="JPP183" s="21"/>
      <c r="JPQ183" s="21"/>
      <c r="JPR183" s="21"/>
      <c r="JPS183" s="21"/>
      <c r="JPT183" s="21"/>
      <c r="JPU183" s="21"/>
      <c r="JPV183" s="21"/>
      <c r="JPW183" s="21"/>
      <c r="JPX183" s="21"/>
      <c r="JPY183" s="21"/>
      <c r="JPZ183" s="21"/>
      <c r="JQA183" s="21"/>
      <c r="JQB183" s="21"/>
      <c r="JQC183" s="21"/>
      <c r="JQD183" s="21"/>
      <c r="JQE183" s="21"/>
      <c r="JQF183" s="21"/>
      <c r="JQG183" s="21"/>
      <c r="JQH183" s="21"/>
      <c r="JQI183" s="21"/>
      <c r="JQJ183" s="21"/>
      <c r="JQK183" s="21"/>
      <c r="JQL183" s="21"/>
      <c r="JQM183" s="21"/>
      <c r="JQN183" s="21"/>
      <c r="JQO183" s="21"/>
      <c r="JQP183" s="21"/>
      <c r="JQQ183" s="21"/>
      <c r="JQR183" s="21"/>
      <c r="JQS183" s="21"/>
      <c r="JQT183" s="21"/>
      <c r="JQU183" s="21"/>
      <c r="JQV183" s="21"/>
      <c r="JQW183" s="21"/>
      <c r="JQX183" s="21"/>
      <c r="JQY183" s="21"/>
      <c r="JQZ183" s="21"/>
      <c r="JRA183" s="21"/>
      <c r="JRB183" s="21"/>
      <c r="JRC183" s="21"/>
      <c r="JRD183" s="21"/>
      <c r="JRE183" s="21"/>
      <c r="JRF183" s="21"/>
      <c r="JRG183" s="21"/>
      <c r="JRH183" s="21"/>
      <c r="JRI183" s="21"/>
      <c r="JRJ183" s="21"/>
      <c r="JRK183" s="21"/>
      <c r="JRL183" s="21"/>
      <c r="JRM183" s="21"/>
      <c r="JRN183" s="21"/>
      <c r="JRO183" s="21"/>
      <c r="JRP183" s="21"/>
      <c r="JRQ183" s="21"/>
      <c r="JRR183" s="21"/>
      <c r="JRS183" s="21"/>
      <c r="JRT183" s="21"/>
      <c r="JRU183" s="21"/>
      <c r="JRV183" s="21"/>
      <c r="JRW183" s="21"/>
      <c r="JRX183" s="21"/>
      <c r="JRY183" s="21"/>
      <c r="JRZ183" s="21"/>
      <c r="JSA183" s="21"/>
      <c r="JSB183" s="21"/>
      <c r="JSC183" s="21"/>
      <c r="JSD183" s="21"/>
      <c r="JSE183" s="21"/>
      <c r="JSF183" s="21"/>
      <c r="JSG183" s="21"/>
      <c r="JSH183" s="21"/>
      <c r="JSI183" s="21"/>
      <c r="JSJ183" s="21"/>
      <c r="JSK183" s="21"/>
      <c r="JSL183" s="21"/>
      <c r="JSM183" s="21"/>
      <c r="JSN183" s="21"/>
      <c r="JSO183" s="21"/>
      <c r="JSP183" s="21"/>
      <c r="JSQ183" s="21"/>
      <c r="JSR183" s="21"/>
      <c r="JSS183" s="21"/>
      <c r="JST183" s="21"/>
      <c r="JSU183" s="21"/>
      <c r="JSV183" s="21"/>
      <c r="JSW183" s="21"/>
      <c r="JSX183" s="21"/>
      <c r="JSY183" s="21"/>
      <c r="JSZ183" s="21"/>
      <c r="JTA183" s="21"/>
      <c r="JTB183" s="21"/>
      <c r="JTC183" s="21"/>
      <c r="JTD183" s="21"/>
      <c r="JTE183" s="21"/>
      <c r="JTF183" s="21"/>
      <c r="JTG183" s="21"/>
      <c r="JTH183" s="21"/>
      <c r="JTI183" s="21"/>
      <c r="JTJ183" s="21"/>
      <c r="JTK183" s="21"/>
      <c r="JTL183" s="21"/>
      <c r="JTM183" s="21"/>
      <c r="JTN183" s="21"/>
      <c r="JTO183" s="21"/>
      <c r="JTP183" s="21"/>
      <c r="JTQ183" s="21"/>
      <c r="JTR183" s="21"/>
      <c r="JTS183" s="21"/>
      <c r="JTT183" s="21"/>
      <c r="JTU183" s="21"/>
      <c r="JTV183" s="21"/>
      <c r="JTW183" s="21"/>
      <c r="JTX183" s="21"/>
      <c r="JTY183" s="21"/>
      <c r="JTZ183" s="21"/>
      <c r="JUA183" s="21"/>
      <c r="JUB183" s="21"/>
      <c r="JUC183" s="21"/>
      <c r="JUD183" s="21"/>
      <c r="JUE183" s="21"/>
      <c r="JUF183" s="21"/>
      <c r="JUG183" s="21"/>
      <c r="JUH183" s="21"/>
      <c r="JUI183" s="21"/>
      <c r="JUJ183" s="21"/>
      <c r="JUK183" s="21"/>
      <c r="JUL183" s="21"/>
      <c r="JUM183" s="21"/>
      <c r="JUN183" s="21"/>
      <c r="JUO183" s="21"/>
      <c r="JUP183" s="21"/>
      <c r="JUQ183" s="21"/>
      <c r="JUR183" s="21"/>
      <c r="JUS183" s="21"/>
      <c r="JUT183" s="21"/>
      <c r="JUU183" s="21"/>
      <c r="JUV183" s="21"/>
      <c r="JUW183" s="21"/>
      <c r="JUX183" s="21"/>
      <c r="JUY183" s="21"/>
      <c r="JUZ183" s="21"/>
      <c r="JVA183" s="21"/>
      <c r="JVB183" s="21"/>
      <c r="JVC183" s="21"/>
      <c r="JVD183" s="21"/>
      <c r="JVE183" s="21"/>
      <c r="JVF183" s="21"/>
      <c r="JVG183" s="21"/>
      <c r="JVH183" s="21"/>
      <c r="JVI183" s="21"/>
      <c r="JVJ183" s="21"/>
      <c r="JVK183" s="21"/>
      <c r="JVL183" s="21"/>
      <c r="JVM183" s="21"/>
      <c r="JVN183" s="21"/>
      <c r="JVO183" s="21"/>
      <c r="JVP183" s="21"/>
      <c r="JVQ183" s="21"/>
      <c r="JVR183" s="21"/>
      <c r="JVS183" s="21"/>
      <c r="JVT183" s="21"/>
      <c r="JVU183" s="21"/>
      <c r="JVV183" s="21"/>
      <c r="JVW183" s="21"/>
      <c r="JVX183" s="21"/>
      <c r="JVY183" s="21"/>
      <c r="JVZ183" s="21"/>
      <c r="JWA183" s="21"/>
      <c r="JWB183" s="21"/>
      <c r="JWC183" s="21"/>
      <c r="JWD183" s="21"/>
      <c r="JWE183" s="21"/>
      <c r="JWF183" s="21"/>
      <c r="JWG183" s="21"/>
      <c r="JWH183" s="21"/>
      <c r="JWI183" s="21"/>
      <c r="JWJ183" s="21"/>
      <c r="JWK183" s="21"/>
      <c r="JWL183" s="21"/>
      <c r="JWM183" s="21"/>
      <c r="JWN183" s="21"/>
      <c r="JWO183" s="21"/>
      <c r="JWP183" s="21"/>
      <c r="JWQ183" s="21"/>
      <c r="JWR183" s="21"/>
      <c r="JWS183" s="21"/>
      <c r="JWT183" s="21"/>
      <c r="JWU183" s="21"/>
      <c r="JWV183" s="21"/>
      <c r="JWW183" s="21"/>
      <c r="JWX183" s="21"/>
      <c r="JWY183" s="21"/>
      <c r="JWZ183" s="21"/>
      <c r="JXA183" s="21"/>
      <c r="JXB183" s="21"/>
      <c r="JXC183" s="21"/>
      <c r="JXD183" s="21"/>
      <c r="JXE183" s="21"/>
      <c r="JXF183" s="21"/>
      <c r="JXG183" s="21"/>
      <c r="JXH183" s="21"/>
      <c r="JXI183" s="21"/>
      <c r="JXJ183" s="21"/>
      <c r="JXK183" s="21"/>
      <c r="JXL183" s="21"/>
      <c r="JXM183" s="21"/>
      <c r="JXN183" s="21"/>
      <c r="JXO183" s="21"/>
      <c r="JXP183" s="21"/>
      <c r="JXQ183" s="21"/>
      <c r="JXR183" s="21"/>
      <c r="JXS183" s="21"/>
      <c r="JXT183" s="21"/>
      <c r="JXU183" s="21"/>
      <c r="JXV183" s="21"/>
      <c r="JXW183" s="21"/>
      <c r="JXX183" s="21"/>
      <c r="JXY183" s="21"/>
      <c r="JXZ183" s="21"/>
      <c r="JYA183" s="21"/>
      <c r="JYB183" s="21"/>
      <c r="JYC183" s="21"/>
      <c r="JYD183" s="21"/>
      <c r="JYE183" s="21"/>
      <c r="JYF183" s="21"/>
      <c r="JYG183" s="21"/>
      <c r="JYH183" s="21"/>
      <c r="JYI183" s="21"/>
      <c r="JYJ183" s="21"/>
      <c r="JYK183" s="21"/>
      <c r="JYL183" s="21"/>
      <c r="JYM183" s="21"/>
      <c r="JYN183" s="21"/>
      <c r="JYO183" s="21"/>
      <c r="JYP183" s="21"/>
      <c r="JYQ183" s="21"/>
      <c r="JYR183" s="21"/>
      <c r="JYS183" s="21"/>
      <c r="JYT183" s="21"/>
      <c r="JYU183" s="21"/>
      <c r="JYV183" s="21"/>
      <c r="JYW183" s="21"/>
      <c r="JYX183" s="21"/>
      <c r="JYY183" s="21"/>
      <c r="JYZ183" s="21"/>
      <c r="JZA183" s="21"/>
      <c r="JZB183" s="21"/>
      <c r="JZC183" s="21"/>
      <c r="JZD183" s="21"/>
      <c r="JZE183" s="21"/>
      <c r="JZF183" s="21"/>
      <c r="JZG183" s="21"/>
      <c r="JZH183" s="21"/>
      <c r="JZI183" s="21"/>
      <c r="JZJ183" s="21"/>
      <c r="JZK183" s="21"/>
      <c r="JZL183" s="21"/>
      <c r="JZM183" s="21"/>
      <c r="JZN183" s="21"/>
      <c r="JZO183" s="21"/>
      <c r="JZP183" s="21"/>
      <c r="JZQ183" s="21"/>
      <c r="JZR183" s="21"/>
      <c r="JZS183" s="21"/>
      <c r="JZT183" s="21"/>
      <c r="JZU183" s="21"/>
      <c r="JZV183" s="21"/>
      <c r="JZW183" s="21"/>
      <c r="JZX183" s="21"/>
      <c r="JZY183" s="21"/>
      <c r="JZZ183" s="21"/>
      <c r="KAA183" s="21"/>
      <c r="KAB183" s="21"/>
      <c r="KAC183" s="21"/>
      <c r="KAD183" s="21"/>
      <c r="KAE183" s="21"/>
      <c r="KAF183" s="21"/>
      <c r="KAG183" s="21"/>
      <c r="KAH183" s="21"/>
      <c r="KAI183" s="21"/>
      <c r="KAJ183" s="21"/>
      <c r="KAK183" s="21"/>
      <c r="KAL183" s="21"/>
      <c r="KAM183" s="21"/>
      <c r="KAN183" s="21"/>
      <c r="KAO183" s="21"/>
      <c r="KAP183" s="21"/>
      <c r="KAQ183" s="21"/>
      <c r="KAR183" s="21"/>
      <c r="KAS183" s="21"/>
      <c r="KAT183" s="21"/>
      <c r="KAU183" s="21"/>
      <c r="KAV183" s="21"/>
      <c r="KAW183" s="21"/>
      <c r="KAX183" s="21"/>
      <c r="KAY183" s="21"/>
      <c r="KAZ183" s="21"/>
      <c r="KBA183" s="21"/>
      <c r="KBB183" s="21"/>
      <c r="KBC183" s="21"/>
      <c r="KBD183" s="21"/>
      <c r="KBE183" s="21"/>
      <c r="KBF183" s="21"/>
      <c r="KBG183" s="21"/>
      <c r="KBH183" s="21"/>
      <c r="KBI183" s="21"/>
      <c r="KBJ183" s="21"/>
      <c r="KBK183" s="21"/>
      <c r="KBL183" s="21"/>
      <c r="KBM183" s="21"/>
      <c r="KBN183" s="21"/>
      <c r="KBO183" s="21"/>
      <c r="KBP183" s="21"/>
      <c r="KBQ183" s="21"/>
      <c r="KBR183" s="21"/>
      <c r="KBS183" s="21"/>
      <c r="KBT183" s="21"/>
      <c r="KBU183" s="21"/>
      <c r="KBV183" s="21"/>
      <c r="KBW183" s="21"/>
      <c r="KBX183" s="21"/>
      <c r="KBY183" s="21"/>
      <c r="KBZ183" s="21"/>
      <c r="KCA183" s="21"/>
      <c r="KCB183" s="21"/>
      <c r="KCC183" s="21"/>
      <c r="KCD183" s="21"/>
      <c r="KCE183" s="21"/>
      <c r="KCF183" s="21"/>
      <c r="KCG183" s="21"/>
      <c r="KCH183" s="21"/>
      <c r="KCI183" s="21"/>
      <c r="KCJ183" s="21"/>
      <c r="KCK183" s="21"/>
      <c r="KCL183" s="21"/>
      <c r="KCM183" s="21"/>
      <c r="KCN183" s="21"/>
      <c r="KCO183" s="21"/>
      <c r="KCP183" s="21"/>
      <c r="KCQ183" s="21"/>
      <c r="KCR183" s="21"/>
      <c r="KCS183" s="21"/>
      <c r="KCT183" s="21"/>
      <c r="KCU183" s="21"/>
      <c r="KCV183" s="21"/>
      <c r="KCW183" s="21"/>
      <c r="KCX183" s="21"/>
      <c r="KCY183" s="21"/>
      <c r="KCZ183" s="21"/>
      <c r="KDA183" s="21"/>
      <c r="KDB183" s="21"/>
      <c r="KDC183" s="21"/>
      <c r="KDD183" s="21"/>
      <c r="KDE183" s="21"/>
      <c r="KDF183" s="21"/>
      <c r="KDG183" s="21"/>
      <c r="KDH183" s="21"/>
      <c r="KDI183" s="21"/>
      <c r="KDJ183" s="21"/>
      <c r="KDK183" s="21"/>
      <c r="KDL183" s="21"/>
      <c r="KDM183" s="21"/>
      <c r="KDN183" s="21"/>
      <c r="KDO183" s="21"/>
      <c r="KDP183" s="21"/>
      <c r="KDQ183" s="21"/>
      <c r="KDR183" s="21"/>
      <c r="KDS183" s="21"/>
      <c r="KDT183" s="21"/>
      <c r="KDU183" s="21"/>
      <c r="KDV183" s="21"/>
      <c r="KDW183" s="21"/>
      <c r="KDX183" s="21"/>
      <c r="KDY183" s="21"/>
      <c r="KDZ183" s="21"/>
      <c r="KEA183" s="21"/>
      <c r="KEB183" s="21"/>
      <c r="KEC183" s="21"/>
      <c r="KED183" s="21"/>
      <c r="KEE183" s="21"/>
      <c r="KEF183" s="21"/>
      <c r="KEG183" s="21"/>
      <c r="KEH183" s="21"/>
      <c r="KEI183" s="21"/>
      <c r="KEJ183" s="21"/>
      <c r="KEK183" s="21"/>
      <c r="KEL183" s="21"/>
      <c r="KEM183" s="21"/>
      <c r="KEN183" s="21"/>
      <c r="KEO183" s="21"/>
      <c r="KEP183" s="21"/>
      <c r="KEQ183" s="21"/>
      <c r="KER183" s="21"/>
      <c r="KES183" s="21"/>
      <c r="KET183" s="21"/>
      <c r="KEU183" s="21"/>
      <c r="KEV183" s="21"/>
      <c r="KEW183" s="21"/>
      <c r="KEX183" s="21"/>
      <c r="KEY183" s="21"/>
      <c r="KEZ183" s="21"/>
      <c r="KFA183" s="21"/>
      <c r="KFB183" s="21"/>
      <c r="KFC183" s="21"/>
      <c r="KFD183" s="21"/>
      <c r="KFE183" s="21"/>
      <c r="KFF183" s="21"/>
      <c r="KFG183" s="21"/>
      <c r="KFH183" s="21"/>
      <c r="KFI183" s="21"/>
      <c r="KFJ183" s="21"/>
      <c r="KFK183" s="21"/>
      <c r="KFL183" s="21"/>
      <c r="KFM183" s="21"/>
      <c r="KFN183" s="21"/>
      <c r="KFO183" s="21"/>
      <c r="KFP183" s="21"/>
      <c r="KFQ183" s="21"/>
      <c r="KFR183" s="21"/>
      <c r="KFS183" s="21"/>
      <c r="KFT183" s="21"/>
      <c r="KFU183" s="21"/>
      <c r="KFV183" s="21"/>
      <c r="KFW183" s="21"/>
      <c r="KFX183" s="21"/>
      <c r="KFY183" s="21"/>
      <c r="KFZ183" s="21"/>
      <c r="KGA183" s="21"/>
      <c r="KGB183" s="21"/>
      <c r="KGC183" s="21"/>
      <c r="KGD183" s="21"/>
      <c r="KGE183" s="21"/>
      <c r="KGF183" s="21"/>
      <c r="KGG183" s="21"/>
      <c r="KGH183" s="21"/>
      <c r="KGI183" s="21"/>
      <c r="KGJ183" s="21"/>
      <c r="KGK183" s="21"/>
      <c r="KGL183" s="21"/>
      <c r="KGM183" s="21"/>
      <c r="KGN183" s="21"/>
      <c r="KGO183" s="21"/>
      <c r="KGP183" s="21"/>
      <c r="KGQ183" s="21"/>
      <c r="KGR183" s="21"/>
      <c r="KGS183" s="21"/>
      <c r="KGT183" s="21"/>
      <c r="KGU183" s="21"/>
      <c r="KGV183" s="21"/>
      <c r="KGW183" s="21"/>
      <c r="KGX183" s="21"/>
      <c r="KGY183" s="21"/>
      <c r="KGZ183" s="21"/>
      <c r="KHA183" s="21"/>
      <c r="KHB183" s="21"/>
      <c r="KHC183" s="21"/>
      <c r="KHD183" s="21"/>
      <c r="KHE183" s="21"/>
      <c r="KHF183" s="21"/>
      <c r="KHG183" s="21"/>
      <c r="KHH183" s="21"/>
      <c r="KHI183" s="21"/>
      <c r="KHJ183" s="21"/>
      <c r="KHK183" s="21"/>
      <c r="KHL183" s="21"/>
      <c r="KHM183" s="21"/>
      <c r="KHN183" s="21"/>
      <c r="KHO183" s="21"/>
      <c r="KHP183" s="21"/>
      <c r="KHQ183" s="21"/>
      <c r="KHR183" s="21"/>
      <c r="KHS183" s="21"/>
      <c r="KHT183" s="21"/>
      <c r="KHU183" s="21"/>
      <c r="KHV183" s="21"/>
      <c r="KHW183" s="21"/>
      <c r="KHX183" s="21"/>
      <c r="KHY183" s="21"/>
      <c r="KHZ183" s="21"/>
      <c r="KIA183" s="21"/>
      <c r="KIB183" s="21"/>
      <c r="KIC183" s="21"/>
      <c r="KID183" s="21"/>
      <c r="KIE183" s="21"/>
      <c r="KIF183" s="21"/>
      <c r="KIG183" s="21"/>
      <c r="KIH183" s="21"/>
      <c r="KII183" s="21"/>
      <c r="KIJ183" s="21"/>
      <c r="KIK183" s="21"/>
      <c r="KIL183" s="21"/>
      <c r="KIM183" s="21"/>
      <c r="KIN183" s="21"/>
      <c r="KIO183" s="21"/>
      <c r="KIP183" s="21"/>
      <c r="KIQ183" s="21"/>
      <c r="KIR183" s="21"/>
      <c r="KIS183" s="21"/>
      <c r="KIT183" s="21"/>
      <c r="KIU183" s="21"/>
      <c r="KIV183" s="21"/>
      <c r="KIW183" s="21"/>
      <c r="KIX183" s="21"/>
      <c r="KIY183" s="21"/>
      <c r="KIZ183" s="21"/>
      <c r="KJA183" s="21"/>
      <c r="KJB183" s="21"/>
      <c r="KJC183" s="21"/>
      <c r="KJD183" s="21"/>
      <c r="KJE183" s="21"/>
      <c r="KJF183" s="21"/>
      <c r="KJG183" s="21"/>
      <c r="KJH183" s="21"/>
      <c r="KJI183" s="21"/>
      <c r="KJJ183" s="21"/>
      <c r="KJK183" s="21"/>
      <c r="KJL183" s="21"/>
      <c r="KJM183" s="21"/>
      <c r="KJN183" s="21"/>
      <c r="KJO183" s="21"/>
      <c r="KJP183" s="21"/>
      <c r="KJQ183" s="21"/>
      <c r="KJR183" s="21"/>
      <c r="KJS183" s="21"/>
      <c r="KJT183" s="21"/>
      <c r="KJU183" s="21"/>
      <c r="KJV183" s="21"/>
      <c r="KJW183" s="21"/>
      <c r="KJX183" s="21"/>
      <c r="KJY183" s="21"/>
      <c r="KJZ183" s="21"/>
      <c r="KKA183" s="21"/>
      <c r="KKB183" s="21"/>
      <c r="KKC183" s="21"/>
      <c r="KKD183" s="21"/>
      <c r="KKE183" s="21"/>
      <c r="KKF183" s="21"/>
      <c r="KKG183" s="21"/>
      <c r="KKH183" s="21"/>
      <c r="KKI183" s="21"/>
      <c r="KKJ183" s="21"/>
      <c r="KKK183" s="21"/>
      <c r="KKL183" s="21"/>
      <c r="KKM183" s="21"/>
      <c r="KKN183" s="21"/>
      <c r="KKO183" s="21"/>
      <c r="KKP183" s="21"/>
      <c r="KKQ183" s="21"/>
      <c r="KKR183" s="21"/>
      <c r="KKS183" s="21"/>
      <c r="KKT183" s="21"/>
      <c r="KKU183" s="21"/>
      <c r="KKV183" s="21"/>
      <c r="KKW183" s="21"/>
      <c r="KKX183" s="21"/>
      <c r="KKY183" s="21"/>
      <c r="KKZ183" s="21"/>
      <c r="KLA183" s="21"/>
      <c r="KLB183" s="21"/>
      <c r="KLC183" s="21"/>
      <c r="KLD183" s="21"/>
      <c r="KLE183" s="21"/>
      <c r="KLF183" s="21"/>
      <c r="KLG183" s="21"/>
      <c r="KLH183" s="21"/>
      <c r="KLI183" s="21"/>
      <c r="KLJ183" s="21"/>
      <c r="KLK183" s="21"/>
      <c r="KLL183" s="21"/>
      <c r="KLM183" s="21"/>
      <c r="KLN183" s="21"/>
      <c r="KLO183" s="21"/>
      <c r="KLP183" s="21"/>
      <c r="KLQ183" s="21"/>
      <c r="KLR183" s="21"/>
      <c r="KLS183" s="21"/>
      <c r="KLT183" s="21"/>
      <c r="KLU183" s="21"/>
      <c r="KLV183" s="21"/>
      <c r="KLW183" s="21"/>
      <c r="KLX183" s="21"/>
      <c r="KLY183" s="21"/>
      <c r="KLZ183" s="21"/>
      <c r="KMA183" s="21"/>
      <c r="KMB183" s="21"/>
      <c r="KMC183" s="21"/>
      <c r="KMD183" s="21"/>
      <c r="KME183" s="21"/>
      <c r="KMF183" s="21"/>
      <c r="KMG183" s="21"/>
      <c r="KMH183" s="21"/>
      <c r="KMI183" s="21"/>
      <c r="KMJ183" s="21"/>
      <c r="KMK183" s="21"/>
      <c r="KML183" s="21"/>
      <c r="KMM183" s="21"/>
      <c r="KMN183" s="21"/>
      <c r="KMO183" s="21"/>
      <c r="KMP183" s="21"/>
      <c r="KMQ183" s="21"/>
      <c r="KMR183" s="21"/>
      <c r="KMS183" s="21"/>
      <c r="KMT183" s="21"/>
      <c r="KMU183" s="21"/>
      <c r="KMV183" s="21"/>
      <c r="KMW183" s="21"/>
      <c r="KMX183" s="21"/>
      <c r="KMY183" s="21"/>
      <c r="KMZ183" s="21"/>
      <c r="KNA183" s="21"/>
      <c r="KNB183" s="21"/>
      <c r="KNC183" s="21"/>
      <c r="KND183" s="21"/>
      <c r="KNE183" s="21"/>
      <c r="KNF183" s="21"/>
      <c r="KNG183" s="21"/>
      <c r="KNH183" s="21"/>
      <c r="KNI183" s="21"/>
      <c r="KNJ183" s="21"/>
      <c r="KNK183" s="21"/>
      <c r="KNL183" s="21"/>
      <c r="KNM183" s="21"/>
      <c r="KNN183" s="21"/>
      <c r="KNO183" s="21"/>
      <c r="KNP183" s="21"/>
      <c r="KNQ183" s="21"/>
      <c r="KNR183" s="21"/>
      <c r="KNS183" s="21"/>
      <c r="KNT183" s="21"/>
      <c r="KNU183" s="21"/>
      <c r="KNV183" s="21"/>
      <c r="KNW183" s="21"/>
      <c r="KNX183" s="21"/>
      <c r="KNY183" s="21"/>
      <c r="KNZ183" s="21"/>
      <c r="KOA183" s="21"/>
      <c r="KOB183" s="21"/>
      <c r="KOC183" s="21"/>
      <c r="KOD183" s="21"/>
      <c r="KOE183" s="21"/>
      <c r="KOF183" s="21"/>
      <c r="KOG183" s="21"/>
      <c r="KOH183" s="21"/>
      <c r="KOI183" s="21"/>
      <c r="KOJ183" s="21"/>
      <c r="KOK183" s="21"/>
      <c r="KOL183" s="21"/>
      <c r="KOM183" s="21"/>
      <c r="KON183" s="21"/>
      <c r="KOO183" s="21"/>
      <c r="KOP183" s="21"/>
      <c r="KOQ183" s="21"/>
      <c r="KOR183" s="21"/>
      <c r="KOS183" s="21"/>
      <c r="KOT183" s="21"/>
      <c r="KOU183" s="21"/>
      <c r="KOV183" s="21"/>
      <c r="KOW183" s="21"/>
      <c r="KOX183" s="21"/>
      <c r="KOY183" s="21"/>
      <c r="KOZ183" s="21"/>
      <c r="KPA183" s="21"/>
      <c r="KPB183" s="21"/>
      <c r="KPC183" s="21"/>
      <c r="KPD183" s="21"/>
      <c r="KPE183" s="21"/>
      <c r="KPF183" s="21"/>
      <c r="KPG183" s="21"/>
      <c r="KPH183" s="21"/>
      <c r="KPI183" s="21"/>
      <c r="KPJ183" s="21"/>
      <c r="KPK183" s="21"/>
      <c r="KPL183" s="21"/>
      <c r="KPM183" s="21"/>
      <c r="KPN183" s="21"/>
      <c r="KPO183" s="21"/>
      <c r="KPP183" s="21"/>
      <c r="KPQ183" s="21"/>
      <c r="KPR183" s="21"/>
      <c r="KPS183" s="21"/>
      <c r="KPT183" s="21"/>
      <c r="KPU183" s="21"/>
      <c r="KPV183" s="21"/>
      <c r="KPW183" s="21"/>
      <c r="KPX183" s="21"/>
      <c r="KPY183" s="21"/>
      <c r="KPZ183" s="21"/>
      <c r="KQA183" s="21"/>
      <c r="KQB183" s="21"/>
      <c r="KQC183" s="21"/>
      <c r="KQD183" s="21"/>
      <c r="KQE183" s="21"/>
      <c r="KQF183" s="21"/>
      <c r="KQG183" s="21"/>
      <c r="KQH183" s="21"/>
      <c r="KQI183" s="21"/>
      <c r="KQJ183" s="21"/>
      <c r="KQK183" s="21"/>
      <c r="KQL183" s="21"/>
      <c r="KQM183" s="21"/>
      <c r="KQN183" s="21"/>
      <c r="KQO183" s="21"/>
      <c r="KQP183" s="21"/>
      <c r="KQQ183" s="21"/>
      <c r="KQR183" s="21"/>
      <c r="KQS183" s="21"/>
      <c r="KQT183" s="21"/>
      <c r="KQU183" s="21"/>
      <c r="KQV183" s="21"/>
      <c r="KQW183" s="21"/>
      <c r="KQX183" s="21"/>
      <c r="KQY183" s="21"/>
      <c r="KQZ183" s="21"/>
      <c r="KRA183" s="21"/>
      <c r="KRB183" s="21"/>
      <c r="KRC183" s="21"/>
      <c r="KRD183" s="21"/>
      <c r="KRE183" s="21"/>
      <c r="KRF183" s="21"/>
      <c r="KRG183" s="21"/>
      <c r="KRH183" s="21"/>
      <c r="KRI183" s="21"/>
      <c r="KRJ183" s="21"/>
      <c r="KRK183" s="21"/>
      <c r="KRL183" s="21"/>
      <c r="KRM183" s="21"/>
      <c r="KRN183" s="21"/>
      <c r="KRO183" s="21"/>
      <c r="KRP183" s="21"/>
      <c r="KRQ183" s="21"/>
      <c r="KRR183" s="21"/>
      <c r="KRS183" s="21"/>
      <c r="KRT183" s="21"/>
      <c r="KRU183" s="21"/>
      <c r="KRV183" s="21"/>
      <c r="KRW183" s="21"/>
      <c r="KRX183" s="21"/>
      <c r="KRY183" s="21"/>
      <c r="KRZ183" s="21"/>
      <c r="KSA183" s="21"/>
      <c r="KSB183" s="21"/>
      <c r="KSC183" s="21"/>
      <c r="KSD183" s="21"/>
      <c r="KSE183" s="21"/>
      <c r="KSF183" s="21"/>
      <c r="KSG183" s="21"/>
      <c r="KSH183" s="21"/>
      <c r="KSI183" s="21"/>
      <c r="KSJ183" s="21"/>
      <c r="KSK183" s="21"/>
      <c r="KSL183" s="21"/>
      <c r="KSM183" s="21"/>
      <c r="KSN183" s="21"/>
      <c r="KSO183" s="21"/>
      <c r="KSP183" s="21"/>
      <c r="KSQ183" s="21"/>
      <c r="KSR183" s="21"/>
      <c r="KSS183" s="21"/>
      <c r="KST183" s="21"/>
      <c r="KSU183" s="21"/>
      <c r="KSV183" s="21"/>
      <c r="KSW183" s="21"/>
      <c r="KSX183" s="21"/>
      <c r="KSY183" s="21"/>
      <c r="KSZ183" s="21"/>
      <c r="KTA183" s="21"/>
      <c r="KTB183" s="21"/>
      <c r="KTC183" s="21"/>
      <c r="KTD183" s="21"/>
      <c r="KTE183" s="21"/>
      <c r="KTF183" s="21"/>
      <c r="KTG183" s="21"/>
      <c r="KTH183" s="21"/>
      <c r="KTI183" s="21"/>
      <c r="KTJ183" s="21"/>
      <c r="KTK183" s="21"/>
      <c r="KTL183" s="21"/>
      <c r="KTM183" s="21"/>
      <c r="KTN183" s="21"/>
      <c r="KTO183" s="21"/>
      <c r="KTP183" s="21"/>
      <c r="KTQ183" s="21"/>
      <c r="KTR183" s="21"/>
      <c r="KTS183" s="21"/>
      <c r="KTT183" s="21"/>
      <c r="KTU183" s="21"/>
      <c r="KTV183" s="21"/>
      <c r="KTW183" s="21"/>
      <c r="KTX183" s="21"/>
      <c r="KTY183" s="21"/>
      <c r="KTZ183" s="21"/>
      <c r="KUA183" s="21"/>
      <c r="KUB183" s="21"/>
      <c r="KUC183" s="21"/>
      <c r="KUD183" s="21"/>
      <c r="KUE183" s="21"/>
      <c r="KUF183" s="21"/>
      <c r="KUG183" s="21"/>
      <c r="KUH183" s="21"/>
      <c r="KUI183" s="21"/>
      <c r="KUJ183" s="21"/>
      <c r="KUK183" s="21"/>
      <c r="KUL183" s="21"/>
      <c r="KUM183" s="21"/>
      <c r="KUN183" s="21"/>
      <c r="KUO183" s="21"/>
      <c r="KUP183" s="21"/>
      <c r="KUQ183" s="21"/>
      <c r="KUR183" s="21"/>
      <c r="KUS183" s="21"/>
      <c r="KUT183" s="21"/>
      <c r="KUU183" s="21"/>
      <c r="KUV183" s="21"/>
      <c r="KUW183" s="21"/>
      <c r="KUX183" s="21"/>
      <c r="KUY183" s="21"/>
      <c r="KUZ183" s="21"/>
      <c r="KVA183" s="21"/>
      <c r="KVB183" s="21"/>
      <c r="KVC183" s="21"/>
      <c r="KVD183" s="21"/>
      <c r="KVE183" s="21"/>
      <c r="KVF183" s="21"/>
      <c r="KVG183" s="21"/>
      <c r="KVH183" s="21"/>
      <c r="KVI183" s="21"/>
      <c r="KVJ183" s="21"/>
      <c r="KVK183" s="21"/>
      <c r="KVL183" s="21"/>
      <c r="KVM183" s="21"/>
      <c r="KVN183" s="21"/>
      <c r="KVO183" s="21"/>
      <c r="KVP183" s="21"/>
      <c r="KVQ183" s="21"/>
      <c r="KVR183" s="21"/>
      <c r="KVS183" s="21"/>
      <c r="KVT183" s="21"/>
      <c r="KVU183" s="21"/>
      <c r="KVV183" s="21"/>
      <c r="KVW183" s="21"/>
      <c r="KVX183" s="21"/>
      <c r="KVY183" s="21"/>
      <c r="KVZ183" s="21"/>
      <c r="KWA183" s="21"/>
      <c r="KWB183" s="21"/>
      <c r="KWC183" s="21"/>
      <c r="KWD183" s="21"/>
      <c r="KWE183" s="21"/>
      <c r="KWF183" s="21"/>
      <c r="KWG183" s="21"/>
      <c r="KWH183" s="21"/>
      <c r="KWI183" s="21"/>
      <c r="KWJ183" s="21"/>
      <c r="KWK183" s="21"/>
      <c r="KWL183" s="21"/>
      <c r="KWM183" s="21"/>
      <c r="KWN183" s="21"/>
      <c r="KWO183" s="21"/>
      <c r="KWP183" s="21"/>
      <c r="KWQ183" s="21"/>
      <c r="KWR183" s="21"/>
      <c r="KWS183" s="21"/>
      <c r="KWT183" s="21"/>
      <c r="KWU183" s="21"/>
      <c r="KWV183" s="21"/>
      <c r="KWW183" s="21"/>
      <c r="KWX183" s="21"/>
      <c r="KWY183" s="21"/>
      <c r="KWZ183" s="21"/>
      <c r="KXA183" s="21"/>
      <c r="KXB183" s="21"/>
      <c r="KXC183" s="21"/>
      <c r="KXD183" s="21"/>
      <c r="KXE183" s="21"/>
      <c r="KXF183" s="21"/>
      <c r="KXG183" s="21"/>
      <c r="KXH183" s="21"/>
      <c r="KXI183" s="21"/>
      <c r="KXJ183" s="21"/>
      <c r="KXK183" s="21"/>
      <c r="KXL183" s="21"/>
      <c r="KXM183" s="21"/>
      <c r="KXN183" s="21"/>
      <c r="KXO183" s="21"/>
      <c r="KXP183" s="21"/>
      <c r="KXQ183" s="21"/>
      <c r="KXR183" s="21"/>
      <c r="KXS183" s="21"/>
      <c r="KXT183" s="21"/>
      <c r="KXU183" s="21"/>
      <c r="KXV183" s="21"/>
      <c r="KXW183" s="21"/>
      <c r="KXX183" s="21"/>
      <c r="KXY183" s="21"/>
      <c r="KXZ183" s="21"/>
      <c r="KYA183" s="21"/>
      <c r="KYB183" s="21"/>
      <c r="KYC183" s="21"/>
      <c r="KYD183" s="21"/>
      <c r="KYE183" s="21"/>
      <c r="KYF183" s="21"/>
      <c r="KYG183" s="21"/>
      <c r="KYH183" s="21"/>
      <c r="KYI183" s="21"/>
      <c r="KYJ183" s="21"/>
      <c r="KYK183" s="21"/>
      <c r="KYL183" s="21"/>
      <c r="KYM183" s="21"/>
      <c r="KYN183" s="21"/>
      <c r="KYO183" s="21"/>
      <c r="KYP183" s="21"/>
      <c r="KYQ183" s="21"/>
      <c r="KYR183" s="21"/>
      <c r="KYS183" s="21"/>
      <c r="KYT183" s="21"/>
      <c r="KYU183" s="21"/>
      <c r="KYV183" s="21"/>
      <c r="KYW183" s="21"/>
      <c r="KYX183" s="21"/>
      <c r="KYY183" s="21"/>
      <c r="KYZ183" s="21"/>
      <c r="KZA183" s="21"/>
      <c r="KZB183" s="21"/>
      <c r="KZC183" s="21"/>
      <c r="KZD183" s="21"/>
      <c r="KZE183" s="21"/>
      <c r="KZF183" s="21"/>
      <c r="KZG183" s="21"/>
      <c r="KZH183" s="21"/>
      <c r="KZI183" s="21"/>
      <c r="KZJ183" s="21"/>
      <c r="KZK183" s="21"/>
      <c r="KZL183" s="21"/>
      <c r="KZM183" s="21"/>
      <c r="KZN183" s="21"/>
      <c r="KZO183" s="21"/>
      <c r="KZP183" s="21"/>
      <c r="KZQ183" s="21"/>
      <c r="KZR183" s="21"/>
      <c r="KZS183" s="21"/>
      <c r="KZT183" s="21"/>
      <c r="KZU183" s="21"/>
      <c r="KZV183" s="21"/>
      <c r="KZW183" s="21"/>
      <c r="KZX183" s="21"/>
      <c r="KZY183" s="21"/>
      <c r="KZZ183" s="21"/>
      <c r="LAA183" s="21"/>
      <c r="LAB183" s="21"/>
      <c r="LAC183" s="21"/>
      <c r="LAD183" s="21"/>
      <c r="LAE183" s="21"/>
      <c r="LAF183" s="21"/>
      <c r="LAG183" s="21"/>
      <c r="LAH183" s="21"/>
      <c r="LAI183" s="21"/>
      <c r="LAJ183" s="21"/>
      <c r="LAK183" s="21"/>
      <c r="LAL183" s="21"/>
      <c r="LAM183" s="21"/>
      <c r="LAN183" s="21"/>
      <c r="LAO183" s="21"/>
      <c r="LAP183" s="21"/>
      <c r="LAQ183" s="21"/>
      <c r="LAR183" s="21"/>
      <c r="LAS183" s="21"/>
      <c r="LAT183" s="21"/>
      <c r="LAU183" s="21"/>
      <c r="LAV183" s="21"/>
      <c r="LAW183" s="21"/>
      <c r="LAX183" s="21"/>
      <c r="LAY183" s="21"/>
      <c r="LAZ183" s="21"/>
      <c r="LBA183" s="21"/>
      <c r="LBB183" s="21"/>
      <c r="LBC183" s="21"/>
      <c r="LBD183" s="21"/>
      <c r="LBE183" s="21"/>
      <c r="LBF183" s="21"/>
      <c r="LBG183" s="21"/>
      <c r="LBH183" s="21"/>
      <c r="LBI183" s="21"/>
      <c r="LBJ183" s="21"/>
      <c r="LBK183" s="21"/>
      <c r="LBL183" s="21"/>
      <c r="LBM183" s="21"/>
      <c r="LBN183" s="21"/>
      <c r="LBO183" s="21"/>
      <c r="LBP183" s="21"/>
      <c r="LBQ183" s="21"/>
      <c r="LBR183" s="21"/>
      <c r="LBS183" s="21"/>
      <c r="LBT183" s="21"/>
      <c r="LBU183" s="21"/>
      <c r="LBV183" s="21"/>
      <c r="LBW183" s="21"/>
      <c r="LBX183" s="21"/>
      <c r="LBY183" s="21"/>
      <c r="LBZ183" s="21"/>
      <c r="LCA183" s="21"/>
      <c r="LCB183" s="21"/>
      <c r="LCC183" s="21"/>
      <c r="LCD183" s="21"/>
      <c r="LCE183" s="21"/>
      <c r="LCF183" s="21"/>
      <c r="LCG183" s="21"/>
      <c r="LCH183" s="21"/>
      <c r="LCI183" s="21"/>
      <c r="LCJ183" s="21"/>
      <c r="LCK183" s="21"/>
      <c r="LCL183" s="21"/>
      <c r="LCM183" s="21"/>
      <c r="LCN183" s="21"/>
      <c r="LCO183" s="21"/>
      <c r="LCP183" s="21"/>
      <c r="LCQ183" s="21"/>
      <c r="LCR183" s="21"/>
      <c r="LCS183" s="21"/>
      <c r="LCT183" s="21"/>
      <c r="LCU183" s="21"/>
      <c r="LCV183" s="21"/>
      <c r="LCW183" s="21"/>
      <c r="LCX183" s="21"/>
      <c r="LCY183" s="21"/>
      <c r="LCZ183" s="21"/>
      <c r="LDA183" s="21"/>
      <c r="LDB183" s="21"/>
      <c r="LDC183" s="21"/>
      <c r="LDD183" s="21"/>
      <c r="LDE183" s="21"/>
      <c r="LDF183" s="21"/>
      <c r="LDG183" s="21"/>
      <c r="LDH183" s="21"/>
      <c r="LDI183" s="21"/>
      <c r="LDJ183" s="21"/>
      <c r="LDK183" s="21"/>
      <c r="LDL183" s="21"/>
      <c r="LDM183" s="21"/>
      <c r="LDN183" s="21"/>
      <c r="LDO183" s="21"/>
      <c r="LDP183" s="21"/>
      <c r="LDQ183" s="21"/>
      <c r="LDR183" s="21"/>
      <c r="LDS183" s="21"/>
      <c r="LDT183" s="21"/>
      <c r="LDU183" s="21"/>
      <c r="LDV183" s="21"/>
      <c r="LDW183" s="21"/>
      <c r="LDX183" s="21"/>
      <c r="LDY183" s="21"/>
      <c r="LDZ183" s="21"/>
      <c r="LEA183" s="21"/>
      <c r="LEB183" s="21"/>
      <c r="LEC183" s="21"/>
      <c r="LED183" s="21"/>
      <c r="LEE183" s="21"/>
      <c r="LEF183" s="21"/>
      <c r="LEG183" s="21"/>
      <c r="LEH183" s="21"/>
      <c r="LEI183" s="21"/>
      <c r="LEJ183" s="21"/>
      <c r="LEK183" s="21"/>
      <c r="LEL183" s="21"/>
      <c r="LEM183" s="21"/>
      <c r="LEN183" s="21"/>
      <c r="LEO183" s="21"/>
      <c r="LEP183" s="21"/>
      <c r="LEQ183" s="21"/>
      <c r="LER183" s="21"/>
      <c r="LES183" s="21"/>
      <c r="LET183" s="21"/>
      <c r="LEU183" s="21"/>
      <c r="LEV183" s="21"/>
      <c r="LEW183" s="21"/>
      <c r="LEX183" s="21"/>
      <c r="LEY183" s="21"/>
      <c r="LEZ183" s="21"/>
      <c r="LFA183" s="21"/>
      <c r="LFB183" s="21"/>
      <c r="LFC183" s="21"/>
      <c r="LFD183" s="21"/>
      <c r="LFE183" s="21"/>
      <c r="LFF183" s="21"/>
      <c r="LFG183" s="21"/>
      <c r="LFH183" s="21"/>
      <c r="LFI183" s="21"/>
      <c r="LFJ183" s="21"/>
      <c r="LFK183" s="21"/>
      <c r="LFL183" s="21"/>
      <c r="LFM183" s="21"/>
      <c r="LFN183" s="21"/>
      <c r="LFO183" s="21"/>
      <c r="LFP183" s="21"/>
      <c r="LFQ183" s="21"/>
      <c r="LFR183" s="21"/>
      <c r="LFS183" s="21"/>
      <c r="LFT183" s="21"/>
      <c r="LFU183" s="21"/>
      <c r="LFV183" s="21"/>
      <c r="LFW183" s="21"/>
      <c r="LFX183" s="21"/>
      <c r="LFY183" s="21"/>
      <c r="LFZ183" s="21"/>
      <c r="LGA183" s="21"/>
      <c r="LGB183" s="21"/>
      <c r="LGC183" s="21"/>
      <c r="LGD183" s="21"/>
      <c r="LGE183" s="21"/>
      <c r="LGF183" s="21"/>
      <c r="LGG183" s="21"/>
      <c r="LGH183" s="21"/>
      <c r="LGI183" s="21"/>
      <c r="LGJ183" s="21"/>
      <c r="LGK183" s="21"/>
      <c r="LGL183" s="21"/>
      <c r="LGM183" s="21"/>
      <c r="LGN183" s="21"/>
      <c r="LGO183" s="21"/>
      <c r="LGP183" s="21"/>
      <c r="LGQ183" s="21"/>
      <c r="LGR183" s="21"/>
      <c r="LGS183" s="21"/>
      <c r="LGT183" s="21"/>
      <c r="LGU183" s="21"/>
      <c r="LGV183" s="21"/>
      <c r="LGW183" s="21"/>
      <c r="LGX183" s="21"/>
      <c r="LGY183" s="21"/>
      <c r="LGZ183" s="21"/>
      <c r="LHA183" s="21"/>
      <c r="LHB183" s="21"/>
      <c r="LHC183" s="21"/>
      <c r="LHD183" s="21"/>
      <c r="LHE183" s="21"/>
      <c r="LHF183" s="21"/>
      <c r="LHG183" s="21"/>
      <c r="LHH183" s="21"/>
      <c r="LHI183" s="21"/>
      <c r="LHJ183" s="21"/>
      <c r="LHK183" s="21"/>
      <c r="LHL183" s="21"/>
      <c r="LHM183" s="21"/>
      <c r="LHN183" s="21"/>
      <c r="LHO183" s="21"/>
      <c r="LHP183" s="21"/>
      <c r="LHQ183" s="21"/>
      <c r="LHR183" s="21"/>
      <c r="LHS183" s="21"/>
      <c r="LHT183" s="21"/>
      <c r="LHU183" s="21"/>
      <c r="LHV183" s="21"/>
      <c r="LHW183" s="21"/>
      <c r="LHX183" s="21"/>
      <c r="LHY183" s="21"/>
      <c r="LHZ183" s="21"/>
      <c r="LIA183" s="21"/>
      <c r="LIB183" s="21"/>
      <c r="LIC183" s="21"/>
      <c r="LID183" s="21"/>
      <c r="LIE183" s="21"/>
      <c r="LIF183" s="21"/>
      <c r="LIG183" s="21"/>
      <c r="LIH183" s="21"/>
      <c r="LII183" s="21"/>
      <c r="LIJ183" s="21"/>
      <c r="LIK183" s="21"/>
      <c r="LIL183" s="21"/>
      <c r="LIM183" s="21"/>
      <c r="LIN183" s="21"/>
      <c r="LIO183" s="21"/>
      <c r="LIP183" s="21"/>
      <c r="LIQ183" s="21"/>
      <c r="LIR183" s="21"/>
      <c r="LIS183" s="21"/>
      <c r="LIT183" s="21"/>
      <c r="LIU183" s="21"/>
      <c r="LIV183" s="21"/>
      <c r="LIW183" s="21"/>
      <c r="LIX183" s="21"/>
      <c r="LIY183" s="21"/>
      <c r="LIZ183" s="21"/>
      <c r="LJA183" s="21"/>
      <c r="LJB183" s="21"/>
      <c r="LJC183" s="21"/>
      <c r="LJD183" s="21"/>
      <c r="LJE183" s="21"/>
      <c r="LJF183" s="21"/>
      <c r="LJG183" s="21"/>
      <c r="LJH183" s="21"/>
      <c r="LJI183" s="21"/>
      <c r="LJJ183" s="21"/>
      <c r="LJK183" s="21"/>
      <c r="LJL183" s="21"/>
      <c r="LJM183" s="21"/>
      <c r="LJN183" s="21"/>
      <c r="LJO183" s="21"/>
      <c r="LJP183" s="21"/>
      <c r="LJQ183" s="21"/>
      <c r="LJR183" s="21"/>
      <c r="LJS183" s="21"/>
      <c r="LJT183" s="21"/>
      <c r="LJU183" s="21"/>
      <c r="LJV183" s="21"/>
      <c r="LJW183" s="21"/>
      <c r="LJX183" s="21"/>
      <c r="LJY183" s="21"/>
      <c r="LJZ183" s="21"/>
      <c r="LKA183" s="21"/>
      <c r="LKB183" s="21"/>
      <c r="LKC183" s="21"/>
      <c r="LKD183" s="21"/>
      <c r="LKE183" s="21"/>
      <c r="LKF183" s="21"/>
      <c r="LKG183" s="21"/>
      <c r="LKH183" s="21"/>
      <c r="LKI183" s="21"/>
      <c r="LKJ183" s="21"/>
      <c r="LKK183" s="21"/>
      <c r="LKL183" s="21"/>
      <c r="LKM183" s="21"/>
      <c r="LKN183" s="21"/>
      <c r="LKO183" s="21"/>
      <c r="LKP183" s="21"/>
      <c r="LKQ183" s="21"/>
      <c r="LKR183" s="21"/>
      <c r="LKS183" s="21"/>
      <c r="LKT183" s="21"/>
      <c r="LKU183" s="21"/>
      <c r="LKV183" s="21"/>
      <c r="LKW183" s="21"/>
      <c r="LKX183" s="21"/>
      <c r="LKY183" s="21"/>
      <c r="LKZ183" s="21"/>
      <c r="LLA183" s="21"/>
      <c r="LLB183" s="21"/>
      <c r="LLC183" s="21"/>
      <c r="LLD183" s="21"/>
      <c r="LLE183" s="21"/>
      <c r="LLF183" s="21"/>
      <c r="LLG183" s="21"/>
      <c r="LLH183" s="21"/>
      <c r="LLI183" s="21"/>
      <c r="LLJ183" s="21"/>
      <c r="LLK183" s="21"/>
      <c r="LLL183" s="21"/>
      <c r="LLM183" s="21"/>
      <c r="LLN183" s="21"/>
      <c r="LLO183" s="21"/>
      <c r="LLP183" s="21"/>
      <c r="LLQ183" s="21"/>
      <c r="LLR183" s="21"/>
      <c r="LLS183" s="21"/>
      <c r="LLT183" s="21"/>
      <c r="LLU183" s="21"/>
      <c r="LLV183" s="21"/>
      <c r="LLW183" s="21"/>
      <c r="LLX183" s="21"/>
      <c r="LLY183" s="21"/>
      <c r="LLZ183" s="21"/>
      <c r="LMA183" s="21"/>
      <c r="LMB183" s="21"/>
      <c r="LMC183" s="21"/>
      <c r="LMD183" s="21"/>
      <c r="LME183" s="21"/>
      <c r="LMF183" s="21"/>
      <c r="LMG183" s="21"/>
      <c r="LMH183" s="21"/>
      <c r="LMI183" s="21"/>
      <c r="LMJ183" s="21"/>
      <c r="LMK183" s="21"/>
      <c r="LML183" s="21"/>
      <c r="LMM183" s="21"/>
      <c r="LMN183" s="21"/>
      <c r="LMO183" s="21"/>
      <c r="LMP183" s="21"/>
      <c r="LMQ183" s="21"/>
      <c r="LMR183" s="21"/>
      <c r="LMS183" s="21"/>
      <c r="LMT183" s="21"/>
      <c r="LMU183" s="21"/>
      <c r="LMV183" s="21"/>
      <c r="LMW183" s="21"/>
      <c r="LMX183" s="21"/>
      <c r="LMY183" s="21"/>
      <c r="LMZ183" s="21"/>
      <c r="LNA183" s="21"/>
      <c r="LNB183" s="21"/>
      <c r="LNC183" s="21"/>
      <c r="LND183" s="21"/>
      <c r="LNE183" s="21"/>
      <c r="LNF183" s="21"/>
      <c r="LNG183" s="21"/>
      <c r="LNH183" s="21"/>
      <c r="LNI183" s="21"/>
      <c r="LNJ183" s="21"/>
      <c r="LNK183" s="21"/>
      <c r="LNL183" s="21"/>
      <c r="LNM183" s="21"/>
      <c r="LNN183" s="21"/>
      <c r="LNO183" s="21"/>
      <c r="LNP183" s="21"/>
      <c r="LNQ183" s="21"/>
      <c r="LNR183" s="21"/>
      <c r="LNS183" s="21"/>
      <c r="LNT183" s="21"/>
      <c r="LNU183" s="21"/>
      <c r="LNV183" s="21"/>
      <c r="LNW183" s="21"/>
      <c r="LNX183" s="21"/>
      <c r="LNY183" s="21"/>
      <c r="LNZ183" s="21"/>
      <c r="LOA183" s="21"/>
      <c r="LOB183" s="21"/>
      <c r="LOC183" s="21"/>
      <c r="LOD183" s="21"/>
      <c r="LOE183" s="21"/>
      <c r="LOF183" s="21"/>
      <c r="LOG183" s="21"/>
      <c r="LOH183" s="21"/>
      <c r="LOI183" s="21"/>
      <c r="LOJ183" s="21"/>
      <c r="LOK183" s="21"/>
      <c r="LOL183" s="21"/>
      <c r="LOM183" s="21"/>
      <c r="LON183" s="21"/>
      <c r="LOO183" s="21"/>
      <c r="LOP183" s="21"/>
      <c r="LOQ183" s="21"/>
      <c r="LOR183" s="21"/>
      <c r="LOS183" s="21"/>
      <c r="LOT183" s="21"/>
      <c r="LOU183" s="21"/>
      <c r="LOV183" s="21"/>
      <c r="LOW183" s="21"/>
      <c r="LOX183" s="21"/>
      <c r="LOY183" s="21"/>
      <c r="LOZ183" s="21"/>
      <c r="LPA183" s="21"/>
      <c r="LPB183" s="21"/>
      <c r="LPC183" s="21"/>
      <c r="LPD183" s="21"/>
      <c r="LPE183" s="21"/>
      <c r="LPF183" s="21"/>
      <c r="LPG183" s="21"/>
      <c r="LPH183" s="21"/>
      <c r="LPI183" s="21"/>
      <c r="LPJ183" s="21"/>
      <c r="LPK183" s="21"/>
      <c r="LPL183" s="21"/>
      <c r="LPM183" s="21"/>
      <c r="LPN183" s="21"/>
      <c r="LPO183" s="21"/>
      <c r="LPP183" s="21"/>
      <c r="LPQ183" s="21"/>
      <c r="LPR183" s="21"/>
      <c r="LPS183" s="21"/>
      <c r="LPT183" s="21"/>
      <c r="LPU183" s="21"/>
      <c r="LPV183" s="21"/>
      <c r="LPW183" s="21"/>
      <c r="LPX183" s="21"/>
      <c r="LPY183" s="21"/>
      <c r="LPZ183" s="21"/>
      <c r="LQA183" s="21"/>
      <c r="LQB183" s="21"/>
      <c r="LQC183" s="21"/>
      <c r="LQD183" s="21"/>
      <c r="LQE183" s="21"/>
      <c r="LQF183" s="21"/>
      <c r="LQG183" s="21"/>
      <c r="LQH183" s="21"/>
      <c r="LQI183" s="21"/>
      <c r="LQJ183" s="21"/>
      <c r="LQK183" s="21"/>
      <c r="LQL183" s="21"/>
      <c r="LQM183" s="21"/>
      <c r="LQN183" s="21"/>
      <c r="LQO183" s="21"/>
      <c r="LQP183" s="21"/>
      <c r="LQQ183" s="21"/>
      <c r="LQR183" s="21"/>
      <c r="LQS183" s="21"/>
      <c r="LQT183" s="21"/>
      <c r="LQU183" s="21"/>
      <c r="LQV183" s="21"/>
      <c r="LQW183" s="21"/>
      <c r="LQX183" s="21"/>
      <c r="LQY183" s="21"/>
      <c r="LQZ183" s="21"/>
      <c r="LRA183" s="21"/>
      <c r="LRB183" s="21"/>
      <c r="LRC183" s="21"/>
      <c r="LRD183" s="21"/>
      <c r="LRE183" s="21"/>
      <c r="LRF183" s="21"/>
      <c r="LRG183" s="21"/>
      <c r="LRH183" s="21"/>
      <c r="LRI183" s="21"/>
      <c r="LRJ183" s="21"/>
      <c r="LRK183" s="21"/>
      <c r="LRL183" s="21"/>
      <c r="LRM183" s="21"/>
      <c r="LRN183" s="21"/>
      <c r="LRO183" s="21"/>
      <c r="LRP183" s="21"/>
      <c r="LRQ183" s="21"/>
      <c r="LRR183" s="21"/>
      <c r="LRS183" s="21"/>
      <c r="LRT183" s="21"/>
      <c r="LRU183" s="21"/>
      <c r="LRV183" s="21"/>
      <c r="LRW183" s="21"/>
      <c r="LRX183" s="21"/>
      <c r="LRY183" s="21"/>
      <c r="LRZ183" s="21"/>
      <c r="LSA183" s="21"/>
      <c r="LSB183" s="21"/>
      <c r="LSC183" s="21"/>
      <c r="LSD183" s="21"/>
      <c r="LSE183" s="21"/>
      <c r="LSF183" s="21"/>
      <c r="LSG183" s="21"/>
      <c r="LSH183" s="21"/>
      <c r="LSI183" s="21"/>
      <c r="LSJ183" s="21"/>
      <c r="LSK183" s="21"/>
      <c r="LSL183" s="21"/>
      <c r="LSM183" s="21"/>
      <c r="LSN183" s="21"/>
      <c r="LSO183" s="21"/>
      <c r="LSP183" s="21"/>
      <c r="LSQ183" s="21"/>
      <c r="LSR183" s="21"/>
      <c r="LSS183" s="21"/>
      <c r="LST183" s="21"/>
      <c r="LSU183" s="21"/>
      <c r="LSV183" s="21"/>
      <c r="LSW183" s="21"/>
      <c r="LSX183" s="21"/>
      <c r="LSY183" s="21"/>
      <c r="LSZ183" s="21"/>
      <c r="LTA183" s="21"/>
      <c r="LTB183" s="21"/>
      <c r="LTC183" s="21"/>
      <c r="LTD183" s="21"/>
      <c r="LTE183" s="21"/>
      <c r="LTF183" s="21"/>
      <c r="LTG183" s="21"/>
      <c r="LTH183" s="21"/>
      <c r="LTI183" s="21"/>
      <c r="LTJ183" s="21"/>
      <c r="LTK183" s="21"/>
      <c r="LTL183" s="21"/>
      <c r="LTM183" s="21"/>
      <c r="LTN183" s="21"/>
      <c r="LTO183" s="21"/>
      <c r="LTP183" s="21"/>
      <c r="LTQ183" s="21"/>
      <c r="LTR183" s="21"/>
      <c r="LTS183" s="21"/>
      <c r="LTT183" s="21"/>
      <c r="LTU183" s="21"/>
      <c r="LTV183" s="21"/>
      <c r="LTW183" s="21"/>
      <c r="LTX183" s="21"/>
      <c r="LTY183" s="21"/>
      <c r="LTZ183" s="21"/>
      <c r="LUA183" s="21"/>
      <c r="LUB183" s="21"/>
      <c r="LUC183" s="21"/>
      <c r="LUD183" s="21"/>
      <c r="LUE183" s="21"/>
      <c r="LUF183" s="21"/>
      <c r="LUG183" s="21"/>
      <c r="LUH183" s="21"/>
      <c r="LUI183" s="21"/>
      <c r="LUJ183" s="21"/>
      <c r="LUK183" s="21"/>
      <c r="LUL183" s="21"/>
      <c r="LUM183" s="21"/>
      <c r="LUN183" s="21"/>
      <c r="LUO183" s="21"/>
      <c r="LUP183" s="21"/>
      <c r="LUQ183" s="21"/>
      <c r="LUR183" s="21"/>
      <c r="LUS183" s="21"/>
      <c r="LUT183" s="21"/>
      <c r="LUU183" s="21"/>
      <c r="LUV183" s="21"/>
      <c r="LUW183" s="21"/>
      <c r="LUX183" s="21"/>
      <c r="LUY183" s="21"/>
      <c r="LUZ183" s="21"/>
      <c r="LVA183" s="21"/>
      <c r="LVB183" s="21"/>
      <c r="LVC183" s="21"/>
      <c r="LVD183" s="21"/>
      <c r="LVE183" s="21"/>
      <c r="LVF183" s="21"/>
      <c r="LVG183" s="21"/>
      <c r="LVH183" s="21"/>
      <c r="LVI183" s="21"/>
      <c r="LVJ183" s="21"/>
      <c r="LVK183" s="21"/>
      <c r="LVL183" s="21"/>
      <c r="LVM183" s="21"/>
      <c r="LVN183" s="21"/>
      <c r="LVO183" s="21"/>
      <c r="LVP183" s="21"/>
      <c r="LVQ183" s="21"/>
      <c r="LVR183" s="21"/>
      <c r="LVS183" s="21"/>
      <c r="LVT183" s="21"/>
      <c r="LVU183" s="21"/>
      <c r="LVV183" s="21"/>
      <c r="LVW183" s="21"/>
      <c r="LVX183" s="21"/>
      <c r="LVY183" s="21"/>
      <c r="LVZ183" s="21"/>
      <c r="LWA183" s="21"/>
      <c r="LWB183" s="21"/>
      <c r="LWC183" s="21"/>
      <c r="LWD183" s="21"/>
      <c r="LWE183" s="21"/>
      <c r="LWF183" s="21"/>
      <c r="LWG183" s="21"/>
      <c r="LWH183" s="21"/>
      <c r="LWI183" s="21"/>
      <c r="LWJ183" s="21"/>
      <c r="LWK183" s="21"/>
      <c r="LWL183" s="21"/>
      <c r="LWM183" s="21"/>
      <c r="LWN183" s="21"/>
      <c r="LWO183" s="21"/>
      <c r="LWP183" s="21"/>
      <c r="LWQ183" s="21"/>
      <c r="LWR183" s="21"/>
      <c r="LWS183" s="21"/>
      <c r="LWT183" s="21"/>
      <c r="LWU183" s="21"/>
      <c r="LWV183" s="21"/>
      <c r="LWW183" s="21"/>
      <c r="LWX183" s="21"/>
      <c r="LWY183" s="21"/>
      <c r="LWZ183" s="21"/>
      <c r="LXA183" s="21"/>
      <c r="LXB183" s="21"/>
      <c r="LXC183" s="21"/>
      <c r="LXD183" s="21"/>
      <c r="LXE183" s="21"/>
      <c r="LXF183" s="21"/>
      <c r="LXG183" s="21"/>
      <c r="LXH183" s="21"/>
      <c r="LXI183" s="21"/>
      <c r="LXJ183" s="21"/>
      <c r="LXK183" s="21"/>
      <c r="LXL183" s="21"/>
      <c r="LXM183" s="21"/>
      <c r="LXN183" s="21"/>
      <c r="LXO183" s="21"/>
      <c r="LXP183" s="21"/>
      <c r="LXQ183" s="21"/>
      <c r="LXR183" s="21"/>
      <c r="LXS183" s="21"/>
      <c r="LXT183" s="21"/>
      <c r="LXU183" s="21"/>
      <c r="LXV183" s="21"/>
      <c r="LXW183" s="21"/>
      <c r="LXX183" s="21"/>
      <c r="LXY183" s="21"/>
      <c r="LXZ183" s="21"/>
      <c r="LYA183" s="21"/>
      <c r="LYB183" s="21"/>
      <c r="LYC183" s="21"/>
      <c r="LYD183" s="21"/>
      <c r="LYE183" s="21"/>
      <c r="LYF183" s="21"/>
      <c r="LYG183" s="21"/>
      <c r="LYH183" s="21"/>
      <c r="LYI183" s="21"/>
      <c r="LYJ183" s="21"/>
      <c r="LYK183" s="21"/>
      <c r="LYL183" s="21"/>
      <c r="LYM183" s="21"/>
      <c r="LYN183" s="21"/>
      <c r="LYO183" s="21"/>
      <c r="LYP183" s="21"/>
      <c r="LYQ183" s="21"/>
      <c r="LYR183" s="21"/>
      <c r="LYS183" s="21"/>
      <c r="LYT183" s="21"/>
      <c r="LYU183" s="21"/>
      <c r="LYV183" s="21"/>
      <c r="LYW183" s="21"/>
      <c r="LYX183" s="21"/>
      <c r="LYY183" s="21"/>
      <c r="LYZ183" s="21"/>
      <c r="LZA183" s="21"/>
      <c r="LZB183" s="21"/>
      <c r="LZC183" s="21"/>
      <c r="LZD183" s="21"/>
      <c r="LZE183" s="21"/>
      <c r="LZF183" s="21"/>
      <c r="LZG183" s="21"/>
      <c r="LZH183" s="21"/>
      <c r="LZI183" s="21"/>
      <c r="LZJ183" s="21"/>
      <c r="LZK183" s="21"/>
      <c r="LZL183" s="21"/>
      <c r="LZM183" s="21"/>
      <c r="LZN183" s="21"/>
      <c r="LZO183" s="21"/>
      <c r="LZP183" s="21"/>
      <c r="LZQ183" s="21"/>
      <c r="LZR183" s="21"/>
      <c r="LZS183" s="21"/>
      <c r="LZT183" s="21"/>
      <c r="LZU183" s="21"/>
      <c r="LZV183" s="21"/>
      <c r="LZW183" s="21"/>
      <c r="LZX183" s="21"/>
      <c r="LZY183" s="21"/>
      <c r="LZZ183" s="21"/>
      <c r="MAA183" s="21"/>
      <c r="MAB183" s="21"/>
      <c r="MAC183" s="21"/>
      <c r="MAD183" s="21"/>
      <c r="MAE183" s="21"/>
      <c r="MAF183" s="21"/>
      <c r="MAG183" s="21"/>
      <c r="MAH183" s="21"/>
      <c r="MAI183" s="21"/>
      <c r="MAJ183" s="21"/>
      <c r="MAK183" s="21"/>
      <c r="MAL183" s="21"/>
      <c r="MAM183" s="21"/>
      <c r="MAN183" s="21"/>
      <c r="MAO183" s="21"/>
      <c r="MAP183" s="21"/>
      <c r="MAQ183" s="21"/>
      <c r="MAR183" s="21"/>
      <c r="MAS183" s="21"/>
      <c r="MAT183" s="21"/>
      <c r="MAU183" s="21"/>
      <c r="MAV183" s="21"/>
      <c r="MAW183" s="21"/>
      <c r="MAX183" s="21"/>
      <c r="MAY183" s="21"/>
      <c r="MAZ183" s="21"/>
      <c r="MBA183" s="21"/>
      <c r="MBB183" s="21"/>
      <c r="MBC183" s="21"/>
      <c r="MBD183" s="21"/>
      <c r="MBE183" s="21"/>
      <c r="MBF183" s="21"/>
      <c r="MBG183" s="21"/>
      <c r="MBH183" s="21"/>
      <c r="MBI183" s="21"/>
      <c r="MBJ183" s="21"/>
      <c r="MBK183" s="21"/>
      <c r="MBL183" s="21"/>
      <c r="MBM183" s="21"/>
      <c r="MBN183" s="21"/>
      <c r="MBO183" s="21"/>
      <c r="MBP183" s="21"/>
      <c r="MBQ183" s="21"/>
      <c r="MBR183" s="21"/>
      <c r="MBS183" s="21"/>
      <c r="MBT183" s="21"/>
      <c r="MBU183" s="21"/>
      <c r="MBV183" s="21"/>
      <c r="MBW183" s="21"/>
      <c r="MBX183" s="21"/>
      <c r="MBY183" s="21"/>
      <c r="MBZ183" s="21"/>
      <c r="MCA183" s="21"/>
      <c r="MCB183" s="21"/>
      <c r="MCC183" s="21"/>
      <c r="MCD183" s="21"/>
      <c r="MCE183" s="21"/>
      <c r="MCF183" s="21"/>
      <c r="MCG183" s="21"/>
      <c r="MCH183" s="21"/>
      <c r="MCI183" s="21"/>
      <c r="MCJ183" s="21"/>
      <c r="MCK183" s="21"/>
      <c r="MCL183" s="21"/>
      <c r="MCM183" s="21"/>
      <c r="MCN183" s="21"/>
      <c r="MCO183" s="21"/>
      <c r="MCP183" s="21"/>
      <c r="MCQ183" s="21"/>
      <c r="MCR183" s="21"/>
      <c r="MCS183" s="21"/>
      <c r="MCT183" s="21"/>
      <c r="MCU183" s="21"/>
      <c r="MCV183" s="21"/>
      <c r="MCW183" s="21"/>
      <c r="MCX183" s="21"/>
      <c r="MCY183" s="21"/>
      <c r="MCZ183" s="21"/>
      <c r="MDA183" s="21"/>
      <c r="MDB183" s="21"/>
      <c r="MDC183" s="21"/>
      <c r="MDD183" s="21"/>
      <c r="MDE183" s="21"/>
      <c r="MDF183" s="21"/>
      <c r="MDG183" s="21"/>
      <c r="MDH183" s="21"/>
      <c r="MDI183" s="21"/>
      <c r="MDJ183" s="21"/>
      <c r="MDK183" s="21"/>
      <c r="MDL183" s="21"/>
      <c r="MDM183" s="21"/>
      <c r="MDN183" s="21"/>
      <c r="MDO183" s="21"/>
      <c r="MDP183" s="21"/>
      <c r="MDQ183" s="21"/>
      <c r="MDR183" s="21"/>
      <c r="MDS183" s="21"/>
      <c r="MDT183" s="21"/>
      <c r="MDU183" s="21"/>
      <c r="MDV183" s="21"/>
      <c r="MDW183" s="21"/>
      <c r="MDX183" s="21"/>
      <c r="MDY183" s="21"/>
      <c r="MDZ183" s="21"/>
      <c r="MEA183" s="21"/>
      <c r="MEB183" s="21"/>
      <c r="MEC183" s="21"/>
      <c r="MED183" s="21"/>
      <c r="MEE183" s="21"/>
      <c r="MEF183" s="21"/>
      <c r="MEG183" s="21"/>
      <c r="MEH183" s="21"/>
      <c r="MEI183" s="21"/>
      <c r="MEJ183" s="21"/>
      <c r="MEK183" s="21"/>
      <c r="MEL183" s="21"/>
      <c r="MEM183" s="21"/>
      <c r="MEN183" s="21"/>
      <c r="MEO183" s="21"/>
      <c r="MEP183" s="21"/>
      <c r="MEQ183" s="21"/>
      <c r="MER183" s="21"/>
      <c r="MES183" s="21"/>
      <c r="MET183" s="21"/>
      <c r="MEU183" s="21"/>
      <c r="MEV183" s="21"/>
      <c r="MEW183" s="21"/>
      <c r="MEX183" s="21"/>
      <c r="MEY183" s="21"/>
      <c r="MEZ183" s="21"/>
      <c r="MFA183" s="21"/>
      <c r="MFB183" s="21"/>
      <c r="MFC183" s="21"/>
      <c r="MFD183" s="21"/>
      <c r="MFE183" s="21"/>
      <c r="MFF183" s="21"/>
      <c r="MFG183" s="21"/>
      <c r="MFH183" s="21"/>
      <c r="MFI183" s="21"/>
      <c r="MFJ183" s="21"/>
      <c r="MFK183" s="21"/>
      <c r="MFL183" s="21"/>
      <c r="MFM183" s="21"/>
      <c r="MFN183" s="21"/>
      <c r="MFO183" s="21"/>
      <c r="MFP183" s="21"/>
      <c r="MFQ183" s="21"/>
      <c r="MFR183" s="21"/>
      <c r="MFS183" s="21"/>
      <c r="MFT183" s="21"/>
      <c r="MFU183" s="21"/>
      <c r="MFV183" s="21"/>
      <c r="MFW183" s="21"/>
      <c r="MFX183" s="21"/>
      <c r="MFY183" s="21"/>
      <c r="MFZ183" s="21"/>
      <c r="MGA183" s="21"/>
      <c r="MGB183" s="21"/>
      <c r="MGC183" s="21"/>
      <c r="MGD183" s="21"/>
      <c r="MGE183" s="21"/>
      <c r="MGF183" s="21"/>
      <c r="MGG183" s="21"/>
      <c r="MGH183" s="21"/>
      <c r="MGI183" s="21"/>
      <c r="MGJ183" s="21"/>
      <c r="MGK183" s="21"/>
      <c r="MGL183" s="21"/>
      <c r="MGM183" s="21"/>
      <c r="MGN183" s="21"/>
      <c r="MGO183" s="21"/>
      <c r="MGP183" s="21"/>
      <c r="MGQ183" s="21"/>
      <c r="MGR183" s="21"/>
      <c r="MGS183" s="21"/>
      <c r="MGT183" s="21"/>
      <c r="MGU183" s="21"/>
      <c r="MGV183" s="21"/>
      <c r="MGW183" s="21"/>
      <c r="MGX183" s="21"/>
      <c r="MGY183" s="21"/>
      <c r="MGZ183" s="21"/>
      <c r="MHA183" s="21"/>
      <c r="MHB183" s="21"/>
      <c r="MHC183" s="21"/>
      <c r="MHD183" s="21"/>
      <c r="MHE183" s="21"/>
      <c r="MHF183" s="21"/>
      <c r="MHG183" s="21"/>
      <c r="MHH183" s="21"/>
      <c r="MHI183" s="21"/>
      <c r="MHJ183" s="21"/>
      <c r="MHK183" s="21"/>
      <c r="MHL183" s="21"/>
      <c r="MHM183" s="21"/>
      <c r="MHN183" s="21"/>
      <c r="MHO183" s="21"/>
      <c r="MHP183" s="21"/>
      <c r="MHQ183" s="21"/>
      <c r="MHR183" s="21"/>
      <c r="MHS183" s="21"/>
      <c r="MHT183" s="21"/>
      <c r="MHU183" s="21"/>
      <c r="MHV183" s="21"/>
      <c r="MHW183" s="21"/>
      <c r="MHX183" s="21"/>
      <c r="MHY183" s="21"/>
      <c r="MHZ183" s="21"/>
      <c r="MIA183" s="21"/>
      <c r="MIB183" s="21"/>
      <c r="MIC183" s="21"/>
      <c r="MID183" s="21"/>
      <c r="MIE183" s="21"/>
      <c r="MIF183" s="21"/>
      <c r="MIG183" s="21"/>
      <c r="MIH183" s="21"/>
      <c r="MII183" s="21"/>
      <c r="MIJ183" s="21"/>
      <c r="MIK183" s="21"/>
      <c r="MIL183" s="21"/>
      <c r="MIM183" s="21"/>
      <c r="MIN183" s="21"/>
      <c r="MIO183" s="21"/>
      <c r="MIP183" s="21"/>
      <c r="MIQ183" s="21"/>
      <c r="MIR183" s="21"/>
      <c r="MIS183" s="21"/>
      <c r="MIT183" s="21"/>
      <c r="MIU183" s="21"/>
      <c r="MIV183" s="21"/>
      <c r="MIW183" s="21"/>
      <c r="MIX183" s="21"/>
      <c r="MIY183" s="21"/>
      <c r="MIZ183" s="21"/>
      <c r="MJA183" s="21"/>
      <c r="MJB183" s="21"/>
      <c r="MJC183" s="21"/>
      <c r="MJD183" s="21"/>
      <c r="MJE183" s="21"/>
      <c r="MJF183" s="21"/>
      <c r="MJG183" s="21"/>
      <c r="MJH183" s="21"/>
      <c r="MJI183" s="21"/>
      <c r="MJJ183" s="21"/>
      <c r="MJK183" s="21"/>
      <c r="MJL183" s="21"/>
      <c r="MJM183" s="21"/>
      <c r="MJN183" s="21"/>
      <c r="MJO183" s="21"/>
      <c r="MJP183" s="21"/>
      <c r="MJQ183" s="21"/>
      <c r="MJR183" s="21"/>
      <c r="MJS183" s="21"/>
      <c r="MJT183" s="21"/>
      <c r="MJU183" s="21"/>
      <c r="MJV183" s="21"/>
      <c r="MJW183" s="21"/>
      <c r="MJX183" s="21"/>
      <c r="MJY183" s="21"/>
      <c r="MJZ183" s="21"/>
      <c r="MKA183" s="21"/>
      <c r="MKB183" s="21"/>
      <c r="MKC183" s="21"/>
      <c r="MKD183" s="21"/>
      <c r="MKE183" s="21"/>
      <c r="MKF183" s="21"/>
      <c r="MKG183" s="21"/>
      <c r="MKH183" s="21"/>
      <c r="MKI183" s="21"/>
      <c r="MKJ183" s="21"/>
      <c r="MKK183" s="21"/>
      <c r="MKL183" s="21"/>
      <c r="MKM183" s="21"/>
      <c r="MKN183" s="21"/>
      <c r="MKO183" s="21"/>
      <c r="MKP183" s="21"/>
      <c r="MKQ183" s="21"/>
      <c r="MKR183" s="21"/>
      <c r="MKS183" s="21"/>
      <c r="MKT183" s="21"/>
      <c r="MKU183" s="21"/>
      <c r="MKV183" s="21"/>
      <c r="MKW183" s="21"/>
      <c r="MKX183" s="21"/>
      <c r="MKY183" s="21"/>
      <c r="MKZ183" s="21"/>
      <c r="MLA183" s="21"/>
      <c r="MLB183" s="21"/>
      <c r="MLC183" s="21"/>
      <c r="MLD183" s="21"/>
      <c r="MLE183" s="21"/>
      <c r="MLF183" s="21"/>
      <c r="MLG183" s="21"/>
      <c r="MLH183" s="21"/>
      <c r="MLI183" s="21"/>
      <c r="MLJ183" s="21"/>
      <c r="MLK183" s="21"/>
      <c r="MLL183" s="21"/>
      <c r="MLM183" s="21"/>
      <c r="MLN183" s="21"/>
      <c r="MLO183" s="21"/>
      <c r="MLP183" s="21"/>
      <c r="MLQ183" s="21"/>
      <c r="MLR183" s="21"/>
      <c r="MLS183" s="21"/>
      <c r="MLT183" s="21"/>
      <c r="MLU183" s="21"/>
      <c r="MLV183" s="21"/>
      <c r="MLW183" s="21"/>
      <c r="MLX183" s="21"/>
      <c r="MLY183" s="21"/>
      <c r="MLZ183" s="21"/>
      <c r="MMA183" s="21"/>
      <c r="MMB183" s="21"/>
      <c r="MMC183" s="21"/>
      <c r="MMD183" s="21"/>
      <c r="MME183" s="21"/>
      <c r="MMF183" s="21"/>
      <c r="MMG183" s="21"/>
      <c r="MMH183" s="21"/>
      <c r="MMI183" s="21"/>
      <c r="MMJ183" s="21"/>
      <c r="MMK183" s="21"/>
      <c r="MML183" s="21"/>
      <c r="MMM183" s="21"/>
      <c r="MMN183" s="21"/>
      <c r="MMO183" s="21"/>
      <c r="MMP183" s="21"/>
      <c r="MMQ183" s="21"/>
      <c r="MMR183" s="21"/>
      <c r="MMS183" s="21"/>
      <c r="MMT183" s="21"/>
      <c r="MMU183" s="21"/>
      <c r="MMV183" s="21"/>
      <c r="MMW183" s="21"/>
      <c r="MMX183" s="21"/>
      <c r="MMY183" s="21"/>
      <c r="MMZ183" s="21"/>
      <c r="MNA183" s="21"/>
      <c r="MNB183" s="21"/>
      <c r="MNC183" s="21"/>
      <c r="MND183" s="21"/>
      <c r="MNE183" s="21"/>
      <c r="MNF183" s="21"/>
      <c r="MNG183" s="21"/>
      <c r="MNH183" s="21"/>
      <c r="MNI183" s="21"/>
      <c r="MNJ183" s="21"/>
      <c r="MNK183" s="21"/>
      <c r="MNL183" s="21"/>
      <c r="MNM183" s="21"/>
      <c r="MNN183" s="21"/>
      <c r="MNO183" s="21"/>
      <c r="MNP183" s="21"/>
      <c r="MNQ183" s="21"/>
      <c r="MNR183" s="21"/>
      <c r="MNS183" s="21"/>
      <c r="MNT183" s="21"/>
      <c r="MNU183" s="21"/>
      <c r="MNV183" s="21"/>
      <c r="MNW183" s="21"/>
      <c r="MNX183" s="21"/>
      <c r="MNY183" s="21"/>
      <c r="MNZ183" s="21"/>
      <c r="MOA183" s="21"/>
      <c r="MOB183" s="21"/>
      <c r="MOC183" s="21"/>
      <c r="MOD183" s="21"/>
      <c r="MOE183" s="21"/>
      <c r="MOF183" s="21"/>
      <c r="MOG183" s="21"/>
      <c r="MOH183" s="21"/>
      <c r="MOI183" s="21"/>
      <c r="MOJ183" s="21"/>
      <c r="MOK183" s="21"/>
      <c r="MOL183" s="21"/>
      <c r="MOM183" s="21"/>
      <c r="MON183" s="21"/>
      <c r="MOO183" s="21"/>
      <c r="MOP183" s="21"/>
      <c r="MOQ183" s="21"/>
      <c r="MOR183" s="21"/>
      <c r="MOS183" s="21"/>
      <c r="MOT183" s="21"/>
      <c r="MOU183" s="21"/>
      <c r="MOV183" s="21"/>
      <c r="MOW183" s="21"/>
      <c r="MOX183" s="21"/>
      <c r="MOY183" s="21"/>
      <c r="MOZ183" s="21"/>
      <c r="MPA183" s="21"/>
      <c r="MPB183" s="21"/>
      <c r="MPC183" s="21"/>
      <c r="MPD183" s="21"/>
      <c r="MPE183" s="21"/>
      <c r="MPF183" s="21"/>
      <c r="MPG183" s="21"/>
      <c r="MPH183" s="21"/>
      <c r="MPI183" s="21"/>
      <c r="MPJ183" s="21"/>
      <c r="MPK183" s="21"/>
      <c r="MPL183" s="21"/>
      <c r="MPM183" s="21"/>
      <c r="MPN183" s="21"/>
      <c r="MPO183" s="21"/>
      <c r="MPP183" s="21"/>
      <c r="MPQ183" s="21"/>
      <c r="MPR183" s="21"/>
      <c r="MPS183" s="21"/>
      <c r="MPT183" s="21"/>
      <c r="MPU183" s="21"/>
      <c r="MPV183" s="21"/>
      <c r="MPW183" s="21"/>
      <c r="MPX183" s="21"/>
      <c r="MPY183" s="21"/>
      <c r="MPZ183" s="21"/>
      <c r="MQA183" s="21"/>
      <c r="MQB183" s="21"/>
      <c r="MQC183" s="21"/>
      <c r="MQD183" s="21"/>
      <c r="MQE183" s="21"/>
      <c r="MQF183" s="21"/>
      <c r="MQG183" s="21"/>
      <c r="MQH183" s="21"/>
      <c r="MQI183" s="21"/>
      <c r="MQJ183" s="21"/>
      <c r="MQK183" s="21"/>
      <c r="MQL183" s="21"/>
      <c r="MQM183" s="21"/>
      <c r="MQN183" s="21"/>
      <c r="MQO183" s="21"/>
      <c r="MQP183" s="21"/>
      <c r="MQQ183" s="21"/>
      <c r="MQR183" s="21"/>
      <c r="MQS183" s="21"/>
      <c r="MQT183" s="21"/>
      <c r="MQU183" s="21"/>
      <c r="MQV183" s="21"/>
      <c r="MQW183" s="21"/>
      <c r="MQX183" s="21"/>
      <c r="MQY183" s="21"/>
      <c r="MQZ183" s="21"/>
      <c r="MRA183" s="21"/>
      <c r="MRB183" s="21"/>
      <c r="MRC183" s="21"/>
      <c r="MRD183" s="21"/>
      <c r="MRE183" s="21"/>
      <c r="MRF183" s="21"/>
      <c r="MRG183" s="21"/>
      <c r="MRH183" s="21"/>
      <c r="MRI183" s="21"/>
      <c r="MRJ183" s="21"/>
      <c r="MRK183" s="21"/>
      <c r="MRL183" s="21"/>
      <c r="MRM183" s="21"/>
      <c r="MRN183" s="21"/>
      <c r="MRO183" s="21"/>
      <c r="MRP183" s="21"/>
      <c r="MRQ183" s="21"/>
      <c r="MRR183" s="21"/>
      <c r="MRS183" s="21"/>
      <c r="MRT183" s="21"/>
      <c r="MRU183" s="21"/>
      <c r="MRV183" s="21"/>
      <c r="MRW183" s="21"/>
      <c r="MRX183" s="21"/>
      <c r="MRY183" s="21"/>
      <c r="MRZ183" s="21"/>
      <c r="MSA183" s="21"/>
      <c r="MSB183" s="21"/>
      <c r="MSC183" s="21"/>
      <c r="MSD183" s="21"/>
      <c r="MSE183" s="21"/>
      <c r="MSF183" s="21"/>
      <c r="MSG183" s="21"/>
      <c r="MSH183" s="21"/>
      <c r="MSI183" s="21"/>
      <c r="MSJ183" s="21"/>
      <c r="MSK183" s="21"/>
      <c r="MSL183" s="21"/>
      <c r="MSM183" s="21"/>
      <c r="MSN183" s="21"/>
      <c r="MSO183" s="21"/>
      <c r="MSP183" s="21"/>
      <c r="MSQ183" s="21"/>
      <c r="MSR183" s="21"/>
      <c r="MSS183" s="21"/>
      <c r="MST183" s="21"/>
      <c r="MSU183" s="21"/>
      <c r="MSV183" s="21"/>
      <c r="MSW183" s="21"/>
      <c r="MSX183" s="21"/>
      <c r="MSY183" s="21"/>
      <c r="MSZ183" s="21"/>
      <c r="MTA183" s="21"/>
      <c r="MTB183" s="21"/>
      <c r="MTC183" s="21"/>
      <c r="MTD183" s="21"/>
      <c r="MTE183" s="21"/>
      <c r="MTF183" s="21"/>
      <c r="MTG183" s="21"/>
      <c r="MTH183" s="21"/>
      <c r="MTI183" s="21"/>
      <c r="MTJ183" s="21"/>
      <c r="MTK183" s="21"/>
      <c r="MTL183" s="21"/>
      <c r="MTM183" s="21"/>
      <c r="MTN183" s="21"/>
      <c r="MTO183" s="21"/>
      <c r="MTP183" s="21"/>
      <c r="MTQ183" s="21"/>
      <c r="MTR183" s="21"/>
      <c r="MTS183" s="21"/>
      <c r="MTT183" s="21"/>
      <c r="MTU183" s="21"/>
      <c r="MTV183" s="21"/>
      <c r="MTW183" s="21"/>
      <c r="MTX183" s="21"/>
      <c r="MTY183" s="21"/>
      <c r="MTZ183" s="21"/>
      <c r="MUA183" s="21"/>
      <c r="MUB183" s="21"/>
      <c r="MUC183" s="21"/>
      <c r="MUD183" s="21"/>
      <c r="MUE183" s="21"/>
      <c r="MUF183" s="21"/>
      <c r="MUG183" s="21"/>
      <c r="MUH183" s="21"/>
      <c r="MUI183" s="21"/>
      <c r="MUJ183" s="21"/>
      <c r="MUK183" s="21"/>
      <c r="MUL183" s="21"/>
      <c r="MUM183" s="21"/>
      <c r="MUN183" s="21"/>
      <c r="MUO183" s="21"/>
      <c r="MUP183" s="21"/>
      <c r="MUQ183" s="21"/>
      <c r="MUR183" s="21"/>
      <c r="MUS183" s="21"/>
      <c r="MUT183" s="21"/>
      <c r="MUU183" s="21"/>
      <c r="MUV183" s="21"/>
      <c r="MUW183" s="21"/>
      <c r="MUX183" s="21"/>
      <c r="MUY183" s="21"/>
      <c r="MUZ183" s="21"/>
      <c r="MVA183" s="21"/>
      <c r="MVB183" s="21"/>
      <c r="MVC183" s="21"/>
      <c r="MVD183" s="21"/>
      <c r="MVE183" s="21"/>
      <c r="MVF183" s="21"/>
      <c r="MVG183" s="21"/>
      <c r="MVH183" s="21"/>
      <c r="MVI183" s="21"/>
      <c r="MVJ183" s="21"/>
      <c r="MVK183" s="21"/>
      <c r="MVL183" s="21"/>
      <c r="MVM183" s="21"/>
      <c r="MVN183" s="21"/>
      <c r="MVO183" s="21"/>
      <c r="MVP183" s="21"/>
      <c r="MVQ183" s="21"/>
      <c r="MVR183" s="21"/>
      <c r="MVS183" s="21"/>
      <c r="MVT183" s="21"/>
      <c r="MVU183" s="21"/>
      <c r="MVV183" s="21"/>
      <c r="MVW183" s="21"/>
      <c r="MVX183" s="21"/>
      <c r="MVY183" s="21"/>
      <c r="MVZ183" s="21"/>
      <c r="MWA183" s="21"/>
      <c r="MWB183" s="21"/>
      <c r="MWC183" s="21"/>
      <c r="MWD183" s="21"/>
      <c r="MWE183" s="21"/>
      <c r="MWF183" s="21"/>
      <c r="MWG183" s="21"/>
      <c r="MWH183" s="21"/>
      <c r="MWI183" s="21"/>
      <c r="MWJ183" s="21"/>
      <c r="MWK183" s="21"/>
      <c r="MWL183" s="21"/>
      <c r="MWM183" s="21"/>
      <c r="MWN183" s="21"/>
      <c r="MWO183" s="21"/>
      <c r="MWP183" s="21"/>
      <c r="MWQ183" s="21"/>
      <c r="MWR183" s="21"/>
      <c r="MWS183" s="21"/>
      <c r="MWT183" s="21"/>
      <c r="MWU183" s="21"/>
      <c r="MWV183" s="21"/>
      <c r="MWW183" s="21"/>
      <c r="MWX183" s="21"/>
      <c r="MWY183" s="21"/>
      <c r="MWZ183" s="21"/>
      <c r="MXA183" s="21"/>
      <c r="MXB183" s="21"/>
      <c r="MXC183" s="21"/>
      <c r="MXD183" s="21"/>
      <c r="MXE183" s="21"/>
      <c r="MXF183" s="21"/>
      <c r="MXG183" s="21"/>
      <c r="MXH183" s="21"/>
      <c r="MXI183" s="21"/>
      <c r="MXJ183" s="21"/>
      <c r="MXK183" s="21"/>
      <c r="MXL183" s="21"/>
      <c r="MXM183" s="21"/>
      <c r="MXN183" s="21"/>
      <c r="MXO183" s="21"/>
      <c r="MXP183" s="21"/>
      <c r="MXQ183" s="21"/>
      <c r="MXR183" s="21"/>
      <c r="MXS183" s="21"/>
      <c r="MXT183" s="21"/>
      <c r="MXU183" s="21"/>
      <c r="MXV183" s="21"/>
      <c r="MXW183" s="21"/>
      <c r="MXX183" s="21"/>
      <c r="MXY183" s="21"/>
      <c r="MXZ183" s="21"/>
      <c r="MYA183" s="21"/>
      <c r="MYB183" s="21"/>
      <c r="MYC183" s="21"/>
      <c r="MYD183" s="21"/>
      <c r="MYE183" s="21"/>
      <c r="MYF183" s="21"/>
      <c r="MYG183" s="21"/>
      <c r="MYH183" s="21"/>
      <c r="MYI183" s="21"/>
      <c r="MYJ183" s="21"/>
      <c r="MYK183" s="21"/>
      <c r="MYL183" s="21"/>
      <c r="MYM183" s="21"/>
      <c r="MYN183" s="21"/>
      <c r="MYO183" s="21"/>
      <c r="MYP183" s="21"/>
      <c r="MYQ183" s="21"/>
      <c r="MYR183" s="21"/>
      <c r="MYS183" s="21"/>
      <c r="MYT183" s="21"/>
      <c r="MYU183" s="21"/>
      <c r="MYV183" s="21"/>
      <c r="MYW183" s="21"/>
      <c r="MYX183" s="21"/>
      <c r="MYY183" s="21"/>
      <c r="MYZ183" s="21"/>
      <c r="MZA183" s="21"/>
      <c r="MZB183" s="21"/>
      <c r="MZC183" s="21"/>
      <c r="MZD183" s="21"/>
      <c r="MZE183" s="21"/>
      <c r="MZF183" s="21"/>
      <c r="MZG183" s="21"/>
      <c r="MZH183" s="21"/>
      <c r="MZI183" s="21"/>
      <c r="MZJ183" s="21"/>
      <c r="MZK183" s="21"/>
      <c r="MZL183" s="21"/>
      <c r="MZM183" s="21"/>
      <c r="MZN183" s="21"/>
      <c r="MZO183" s="21"/>
      <c r="MZP183" s="21"/>
      <c r="MZQ183" s="21"/>
      <c r="MZR183" s="21"/>
      <c r="MZS183" s="21"/>
      <c r="MZT183" s="21"/>
      <c r="MZU183" s="21"/>
      <c r="MZV183" s="21"/>
      <c r="MZW183" s="21"/>
      <c r="MZX183" s="21"/>
      <c r="MZY183" s="21"/>
      <c r="MZZ183" s="21"/>
      <c r="NAA183" s="21"/>
      <c r="NAB183" s="21"/>
      <c r="NAC183" s="21"/>
      <c r="NAD183" s="21"/>
      <c r="NAE183" s="21"/>
      <c r="NAF183" s="21"/>
      <c r="NAG183" s="21"/>
      <c r="NAH183" s="21"/>
      <c r="NAI183" s="21"/>
      <c r="NAJ183" s="21"/>
      <c r="NAK183" s="21"/>
      <c r="NAL183" s="21"/>
      <c r="NAM183" s="21"/>
      <c r="NAN183" s="21"/>
      <c r="NAO183" s="21"/>
      <c r="NAP183" s="21"/>
      <c r="NAQ183" s="21"/>
      <c r="NAR183" s="21"/>
      <c r="NAS183" s="21"/>
      <c r="NAT183" s="21"/>
      <c r="NAU183" s="21"/>
      <c r="NAV183" s="21"/>
      <c r="NAW183" s="21"/>
      <c r="NAX183" s="21"/>
      <c r="NAY183" s="21"/>
      <c r="NAZ183" s="21"/>
      <c r="NBA183" s="21"/>
      <c r="NBB183" s="21"/>
      <c r="NBC183" s="21"/>
      <c r="NBD183" s="21"/>
      <c r="NBE183" s="21"/>
      <c r="NBF183" s="21"/>
      <c r="NBG183" s="21"/>
      <c r="NBH183" s="21"/>
      <c r="NBI183" s="21"/>
      <c r="NBJ183" s="21"/>
      <c r="NBK183" s="21"/>
      <c r="NBL183" s="21"/>
      <c r="NBM183" s="21"/>
      <c r="NBN183" s="21"/>
      <c r="NBO183" s="21"/>
      <c r="NBP183" s="21"/>
      <c r="NBQ183" s="21"/>
      <c r="NBR183" s="21"/>
      <c r="NBS183" s="21"/>
      <c r="NBT183" s="21"/>
      <c r="NBU183" s="21"/>
      <c r="NBV183" s="21"/>
      <c r="NBW183" s="21"/>
      <c r="NBX183" s="21"/>
      <c r="NBY183" s="21"/>
      <c r="NBZ183" s="21"/>
      <c r="NCA183" s="21"/>
      <c r="NCB183" s="21"/>
      <c r="NCC183" s="21"/>
      <c r="NCD183" s="21"/>
      <c r="NCE183" s="21"/>
      <c r="NCF183" s="21"/>
      <c r="NCG183" s="21"/>
      <c r="NCH183" s="21"/>
      <c r="NCI183" s="21"/>
      <c r="NCJ183" s="21"/>
      <c r="NCK183" s="21"/>
      <c r="NCL183" s="21"/>
      <c r="NCM183" s="21"/>
      <c r="NCN183" s="21"/>
      <c r="NCO183" s="21"/>
      <c r="NCP183" s="21"/>
      <c r="NCQ183" s="21"/>
      <c r="NCR183" s="21"/>
      <c r="NCS183" s="21"/>
      <c r="NCT183" s="21"/>
      <c r="NCU183" s="21"/>
      <c r="NCV183" s="21"/>
      <c r="NCW183" s="21"/>
      <c r="NCX183" s="21"/>
      <c r="NCY183" s="21"/>
      <c r="NCZ183" s="21"/>
      <c r="NDA183" s="21"/>
      <c r="NDB183" s="21"/>
      <c r="NDC183" s="21"/>
      <c r="NDD183" s="21"/>
      <c r="NDE183" s="21"/>
      <c r="NDF183" s="21"/>
      <c r="NDG183" s="21"/>
      <c r="NDH183" s="21"/>
      <c r="NDI183" s="21"/>
      <c r="NDJ183" s="21"/>
      <c r="NDK183" s="21"/>
      <c r="NDL183" s="21"/>
      <c r="NDM183" s="21"/>
      <c r="NDN183" s="21"/>
      <c r="NDO183" s="21"/>
      <c r="NDP183" s="21"/>
      <c r="NDQ183" s="21"/>
      <c r="NDR183" s="21"/>
      <c r="NDS183" s="21"/>
      <c r="NDT183" s="21"/>
      <c r="NDU183" s="21"/>
      <c r="NDV183" s="21"/>
      <c r="NDW183" s="21"/>
      <c r="NDX183" s="21"/>
      <c r="NDY183" s="21"/>
      <c r="NDZ183" s="21"/>
      <c r="NEA183" s="21"/>
      <c r="NEB183" s="21"/>
      <c r="NEC183" s="21"/>
      <c r="NED183" s="21"/>
      <c r="NEE183" s="21"/>
      <c r="NEF183" s="21"/>
      <c r="NEG183" s="21"/>
      <c r="NEH183" s="21"/>
      <c r="NEI183" s="21"/>
      <c r="NEJ183" s="21"/>
      <c r="NEK183" s="21"/>
      <c r="NEL183" s="21"/>
      <c r="NEM183" s="21"/>
      <c r="NEN183" s="21"/>
      <c r="NEO183" s="21"/>
      <c r="NEP183" s="21"/>
      <c r="NEQ183" s="21"/>
      <c r="NER183" s="21"/>
      <c r="NES183" s="21"/>
      <c r="NET183" s="21"/>
      <c r="NEU183" s="21"/>
      <c r="NEV183" s="21"/>
      <c r="NEW183" s="21"/>
      <c r="NEX183" s="21"/>
      <c r="NEY183" s="21"/>
      <c r="NEZ183" s="21"/>
      <c r="NFA183" s="21"/>
      <c r="NFB183" s="21"/>
      <c r="NFC183" s="21"/>
      <c r="NFD183" s="21"/>
      <c r="NFE183" s="21"/>
      <c r="NFF183" s="21"/>
      <c r="NFG183" s="21"/>
      <c r="NFH183" s="21"/>
      <c r="NFI183" s="21"/>
      <c r="NFJ183" s="21"/>
      <c r="NFK183" s="21"/>
      <c r="NFL183" s="21"/>
      <c r="NFM183" s="21"/>
      <c r="NFN183" s="21"/>
      <c r="NFO183" s="21"/>
      <c r="NFP183" s="21"/>
      <c r="NFQ183" s="21"/>
      <c r="NFR183" s="21"/>
      <c r="NFS183" s="21"/>
      <c r="NFT183" s="21"/>
      <c r="NFU183" s="21"/>
      <c r="NFV183" s="21"/>
      <c r="NFW183" s="21"/>
      <c r="NFX183" s="21"/>
      <c r="NFY183" s="21"/>
      <c r="NFZ183" s="21"/>
      <c r="NGA183" s="21"/>
      <c r="NGB183" s="21"/>
      <c r="NGC183" s="21"/>
      <c r="NGD183" s="21"/>
      <c r="NGE183" s="21"/>
      <c r="NGF183" s="21"/>
      <c r="NGG183" s="21"/>
      <c r="NGH183" s="21"/>
      <c r="NGI183" s="21"/>
      <c r="NGJ183" s="21"/>
      <c r="NGK183" s="21"/>
      <c r="NGL183" s="21"/>
      <c r="NGM183" s="21"/>
      <c r="NGN183" s="21"/>
      <c r="NGO183" s="21"/>
      <c r="NGP183" s="21"/>
      <c r="NGQ183" s="21"/>
      <c r="NGR183" s="21"/>
      <c r="NGS183" s="21"/>
      <c r="NGT183" s="21"/>
      <c r="NGU183" s="21"/>
      <c r="NGV183" s="21"/>
      <c r="NGW183" s="21"/>
      <c r="NGX183" s="21"/>
      <c r="NGY183" s="21"/>
      <c r="NGZ183" s="21"/>
      <c r="NHA183" s="21"/>
      <c r="NHB183" s="21"/>
      <c r="NHC183" s="21"/>
      <c r="NHD183" s="21"/>
      <c r="NHE183" s="21"/>
      <c r="NHF183" s="21"/>
      <c r="NHG183" s="21"/>
      <c r="NHH183" s="21"/>
      <c r="NHI183" s="21"/>
      <c r="NHJ183" s="21"/>
      <c r="NHK183" s="21"/>
      <c r="NHL183" s="21"/>
      <c r="NHM183" s="21"/>
      <c r="NHN183" s="21"/>
      <c r="NHO183" s="21"/>
      <c r="NHP183" s="21"/>
      <c r="NHQ183" s="21"/>
      <c r="NHR183" s="21"/>
      <c r="NHS183" s="21"/>
      <c r="NHT183" s="21"/>
      <c r="NHU183" s="21"/>
      <c r="NHV183" s="21"/>
      <c r="NHW183" s="21"/>
      <c r="NHX183" s="21"/>
      <c r="NHY183" s="21"/>
      <c r="NHZ183" s="21"/>
      <c r="NIA183" s="21"/>
      <c r="NIB183" s="21"/>
      <c r="NIC183" s="21"/>
      <c r="NID183" s="21"/>
      <c r="NIE183" s="21"/>
      <c r="NIF183" s="21"/>
      <c r="NIG183" s="21"/>
      <c r="NIH183" s="21"/>
      <c r="NII183" s="21"/>
      <c r="NIJ183" s="21"/>
      <c r="NIK183" s="21"/>
      <c r="NIL183" s="21"/>
      <c r="NIM183" s="21"/>
      <c r="NIN183" s="21"/>
      <c r="NIO183" s="21"/>
      <c r="NIP183" s="21"/>
      <c r="NIQ183" s="21"/>
      <c r="NIR183" s="21"/>
      <c r="NIS183" s="21"/>
      <c r="NIT183" s="21"/>
      <c r="NIU183" s="21"/>
      <c r="NIV183" s="21"/>
      <c r="NIW183" s="21"/>
      <c r="NIX183" s="21"/>
      <c r="NIY183" s="21"/>
      <c r="NIZ183" s="21"/>
      <c r="NJA183" s="21"/>
      <c r="NJB183" s="21"/>
      <c r="NJC183" s="21"/>
      <c r="NJD183" s="21"/>
      <c r="NJE183" s="21"/>
      <c r="NJF183" s="21"/>
      <c r="NJG183" s="21"/>
      <c r="NJH183" s="21"/>
      <c r="NJI183" s="21"/>
      <c r="NJJ183" s="21"/>
      <c r="NJK183" s="21"/>
      <c r="NJL183" s="21"/>
      <c r="NJM183" s="21"/>
      <c r="NJN183" s="21"/>
      <c r="NJO183" s="21"/>
      <c r="NJP183" s="21"/>
      <c r="NJQ183" s="21"/>
      <c r="NJR183" s="21"/>
      <c r="NJS183" s="21"/>
      <c r="NJT183" s="21"/>
      <c r="NJU183" s="21"/>
      <c r="NJV183" s="21"/>
      <c r="NJW183" s="21"/>
      <c r="NJX183" s="21"/>
      <c r="NJY183" s="21"/>
      <c r="NJZ183" s="21"/>
      <c r="NKA183" s="21"/>
      <c r="NKB183" s="21"/>
      <c r="NKC183" s="21"/>
      <c r="NKD183" s="21"/>
      <c r="NKE183" s="21"/>
      <c r="NKF183" s="21"/>
      <c r="NKG183" s="21"/>
      <c r="NKH183" s="21"/>
      <c r="NKI183" s="21"/>
      <c r="NKJ183" s="21"/>
      <c r="NKK183" s="21"/>
      <c r="NKL183" s="21"/>
      <c r="NKM183" s="21"/>
      <c r="NKN183" s="21"/>
      <c r="NKO183" s="21"/>
      <c r="NKP183" s="21"/>
      <c r="NKQ183" s="21"/>
      <c r="NKR183" s="21"/>
      <c r="NKS183" s="21"/>
      <c r="NKT183" s="21"/>
      <c r="NKU183" s="21"/>
      <c r="NKV183" s="21"/>
      <c r="NKW183" s="21"/>
      <c r="NKX183" s="21"/>
      <c r="NKY183" s="21"/>
      <c r="NKZ183" s="21"/>
      <c r="NLA183" s="21"/>
      <c r="NLB183" s="21"/>
      <c r="NLC183" s="21"/>
      <c r="NLD183" s="21"/>
      <c r="NLE183" s="21"/>
      <c r="NLF183" s="21"/>
      <c r="NLG183" s="21"/>
      <c r="NLH183" s="21"/>
      <c r="NLI183" s="21"/>
      <c r="NLJ183" s="21"/>
      <c r="NLK183" s="21"/>
      <c r="NLL183" s="21"/>
      <c r="NLM183" s="21"/>
      <c r="NLN183" s="21"/>
      <c r="NLO183" s="21"/>
      <c r="NLP183" s="21"/>
      <c r="NLQ183" s="21"/>
      <c r="NLR183" s="21"/>
      <c r="NLS183" s="21"/>
      <c r="NLT183" s="21"/>
      <c r="NLU183" s="21"/>
      <c r="NLV183" s="21"/>
      <c r="NLW183" s="21"/>
      <c r="NLX183" s="21"/>
      <c r="NLY183" s="21"/>
      <c r="NLZ183" s="21"/>
      <c r="NMA183" s="21"/>
      <c r="NMB183" s="21"/>
      <c r="NMC183" s="21"/>
      <c r="NMD183" s="21"/>
      <c r="NME183" s="21"/>
      <c r="NMF183" s="21"/>
      <c r="NMG183" s="21"/>
      <c r="NMH183" s="21"/>
      <c r="NMI183" s="21"/>
      <c r="NMJ183" s="21"/>
      <c r="NMK183" s="21"/>
      <c r="NML183" s="21"/>
      <c r="NMM183" s="21"/>
      <c r="NMN183" s="21"/>
      <c r="NMO183" s="21"/>
      <c r="NMP183" s="21"/>
      <c r="NMQ183" s="21"/>
      <c r="NMR183" s="21"/>
      <c r="NMS183" s="21"/>
      <c r="NMT183" s="21"/>
      <c r="NMU183" s="21"/>
      <c r="NMV183" s="21"/>
      <c r="NMW183" s="21"/>
      <c r="NMX183" s="21"/>
      <c r="NMY183" s="21"/>
      <c r="NMZ183" s="21"/>
      <c r="NNA183" s="21"/>
      <c r="NNB183" s="21"/>
      <c r="NNC183" s="21"/>
      <c r="NND183" s="21"/>
      <c r="NNE183" s="21"/>
      <c r="NNF183" s="21"/>
      <c r="NNG183" s="21"/>
      <c r="NNH183" s="21"/>
      <c r="NNI183" s="21"/>
      <c r="NNJ183" s="21"/>
      <c r="NNK183" s="21"/>
      <c r="NNL183" s="21"/>
      <c r="NNM183" s="21"/>
      <c r="NNN183" s="21"/>
      <c r="NNO183" s="21"/>
      <c r="NNP183" s="21"/>
      <c r="NNQ183" s="21"/>
      <c r="NNR183" s="21"/>
      <c r="NNS183" s="21"/>
      <c r="NNT183" s="21"/>
      <c r="NNU183" s="21"/>
      <c r="NNV183" s="21"/>
      <c r="NNW183" s="21"/>
      <c r="NNX183" s="21"/>
      <c r="NNY183" s="21"/>
      <c r="NNZ183" s="21"/>
      <c r="NOA183" s="21"/>
      <c r="NOB183" s="21"/>
      <c r="NOC183" s="21"/>
      <c r="NOD183" s="21"/>
      <c r="NOE183" s="21"/>
      <c r="NOF183" s="21"/>
      <c r="NOG183" s="21"/>
      <c r="NOH183" s="21"/>
      <c r="NOI183" s="21"/>
      <c r="NOJ183" s="21"/>
      <c r="NOK183" s="21"/>
      <c r="NOL183" s="21"/>
      <c r="NOM183" s="21"/>
      <c r="NON183" s="21"/>
      <c r="NOO183" s="21"/>
      <c r="NOP183" s="21"/>
      <c r="NOQ183" s="21"/>
      <c r="NOR183" s="21"/>
      <c r="NOS183" s="21"/>
      <c r="NOT183" s="21"/>
      <c r="NOU183" s="21"/>
      <c r="NOV183" s="21"/>
      <c r="NOW183" s="21"/>
      <c r="NOX183" s="21"/>
      <c r="NOY183" s="21"/>
      <c r="NOZ183" s="21"/>
      <c r="NPA183" s="21"/>
      <c r="NPB183" s="21"/>
      <c r="NPC183" s="21"/>
      <c r="NPD183" s="21"/>
      <c r="NPE183" s="21"/>
      <c r="NPF183" s="21"/>
      <c r="NPG183" s="21"/>
      <c r="NPH183" s="21"/>
      <c r="NPI183" s="21"/>
      <c r="NPJ183" s="21"/>
      <c r="NPK183" s="21"/>
      <c r="NPL183" s="21"/>
      <c r="NPM183" s="21"/>
      <c r="NPN183" s="21"/>
      <c r="NPO183" s="21"/>
      <c r="NPP183" s="21"/>
      <c r="NPQ183" s="21"/>
      <c r="NPR183" s="21"/>
      <c r="NPS183" s="21"/>
      <c r="NPT183" s="21"/>
      <c r="NPU183" s="21"/>
      <c r="NPV183" s="21"/>
      <c r="NPW183" s="21"/>
      <c r="NPX183" s="21"/>
      <c r="NPY183" s="21"/>
      <c r="NPZ183" s="21"/>
      <c r="NQA183" s="21"/>
      <c r="NQB183" s="21"/>
      <c r="NQC183" s="21"/>
      <c r="NQD183" s="21"/>
      <c r="NQE183" s="21"/>
      <c r="NQF183" s="21"/>
      <c r="NQG183" s="21"/>
      <c r="NQH183" s="21"/>
      <c r="NQI183" s="21"/>
      <c r="NQJ183" s="21"/>
      <c r="NQK183" s="21"/>
      <c r="NQL183" s="21"/>
      <c r="NQM183" s="21"/>
      <c r="NQN183" s="21"/>
      <c r="NQO183" s="21"/>
      <c r="NQP183" s="21"/>
      <c r="NQQ183" s="21"/>
      <c r="NQR183" s="21"/>
      <c r="NQS183" s="21"/>
      <c r="NQT183" s="21"/>
      <c r="NQU183" s="21"/>
      <c r="NQV183" s="21"/>
      <c r="NQW183" s="21"/>
      <c r="NQX183" s="21"/>
      <c r="NQY183" s="21"/>
      <c r="NQZ183" s="21"/>
      <c r="NRA183" s="21"/>
      <c r="NRB183" s="21"/>
      <c r="NRC183" s="21"/>
      <c r="NRD183" s="21"/>
      <c r="NRE183" s="21"/>
      <c r="NRF183" s="21"/>
      <c r="NRG183" s="21"/>
      <c r="NRH183" s="21"/>
      <c r="NRI183" s="21"/>
      <c r="NRJ183" s="21"/>
      <c r="NRK183" s="21"/>
      <c r="NRL183" s="21"/>
      <c r="NRM183" s="21"/>
      <c r="NRN183" s="21"/>
      <c r="NRO183" s="21"/>
      <c r="NRP183" s="21"/>
      <c r="NRQ183" s="21"/>
      <c r="NRR183" s="21"/>
      <c r="NRS183" s="21"/>
      <c r="NRT183" s="21"/>
      <c r="NRU183" s="21"/>
      <c r="NRV183" s="21"/>
      <c r="NRW183" s="21"/>
      <c r="NRX183" s="21"/>
      <c r="NRY183" s="21"/>
      <c r="NRZ183" s="21"/>
      <c r="NSA183" s="21"/>
      <c r="NSB183" s="21"/>
      <c r="NSC183" s="21"/>
      <c r="NSD183" s="21"/>
      <c r="NSE183" s="21"/>
      <c r="NSF183" s="21"/>
      <c r="NSG183" s="21"/>
      <c r="NSH183" s="21"/>
      <c r="NSI183" s="21"/>
      <c r="NSJ183" s="21"/>
      <c r="NSK183" s="21"/>
      <c r="NSL183" s="21"/>
      <c r="NSM183" s="21"/>
      <c r="NSN183" s="21"/>
      <c r="NSO183" s="21"/>
      <c r="NSP183" s="21"/>
      <c r="NSQ183" s="21"/>
      <c r="NSR183" s="21"/>
      <c r="NSS183" s="21"/>
      <c r="NST183" s="21"/>
      <c r="NSU183" s="21"/>
      <c r="NSV183" s="21"/>
      <c r="NSW183" s="21"/>
      <c r="NSX183" s="21"/>
      <c r="NSY183" s="21"/>
      <c r="NSZ183" s="21"/>
      <c r="NTA183" s="21"/>
      <c r="NTB183" s="21"/>
      <c r="NTC183" s="21"/>
      <c r="NTD183" s="21"/>
      <c r="NTE183" s="21"/>
      <c r="NTF183" s="21"/>
      <c r="NTG183" s="21"/>
      <c r="NTH183" s="21"/>
      <c r="NTI183" s="21"/>
      <c r="NTJ183" s="21"/>
      <c r="NTK183" s="21"/>
      <c r="NTL183" s="21"/>
      <c r="NTM183" s="21"/>
      <c r="NTN183" s="21"/>
      <c r="NTO183" s="21"/>
      <c r="NTP183" s="21"/>
      <c r="NTQ183" s="21"/>
      <c r="NTR183" s="21"/>
      <c r="NTS183" s="21"/>
      <c r="NTT183" s="21"/>
      <c r="NTU183" s="21"/>
      <c r="NTV183" s="21"/>
      <c r="NTW183" s="21"/>
      <c r="NTX183" s="21"/>
      <c r="NTY183" s="21"/>
      <c r="NTZ183" s="21"/>
      <c r="NUA183" s="21"/>
      <c r="NUB183" s="21"/>
      <c r="NUC183" s="21"/>
      <c r="NUD183" s="21"/>
      <c r="NUE183" s="21"/>
      <c r="NUF183" s="21"/>
      <c r="NUG183" s="21"/>
      <c r="NUH183" s="21"/>
      <c r="NUI183" s="21"/>
      <c r="NUJ183" s="21"/>
      <c r="NUK183" s="21"/>
      <c r="NUL183" s="21"/>
      <c r="NUM183" s="21"/>
      <c r="NUN183" s="21"/>
      <c r="NUO183" s="21"/>
      <c r="NUP183" s="21"/>
      <c r="NUQ183" s="21"/>
      <c r="NUR183" s="21"/>
      <c r="NUS183" s="21"/>
      <c r="NUT183" s="21"/>
      <c r="NUU183" s="21"/>
      <c r="NUV183" s="21"/>
      <c r="NUW183" s="21"/>
      <c r="NUX183" s="21"/>
      <c r="NUY183" s="21"/>
      <c r="NUZ183" s="21"/>
      <c r="NVA183" s="21"/>
      <c r="NVB183" s="21"/>
      <c r="NVC183" s="21"/>
      <c r="NVD183" s="21"/>
      <c r="NVE183" s="21"/>
      <c r="NVF183" s="21"/>
      <c r="NVG183" s="21"/>
      <c r="NVH183" s="21"/>
      <c r="NVI183" s="21"/>
      <c r="NVJ183" s="21"/>
      <c r="NVK183" s="21"/>
      <c r="NVL183" s="21"/>
      <c r="NVM183" s="21"/>
      <c r="NVN183" s="21"/>
      <c r="NVO183" s="21"/>
      <c r="NVP183" s="21"/>
      <c r="NVQ183" s="21"/>
      <c r="NVR183" s="21"/>
      <c r="NVS183" s="21"/>
      <c r="NVT183" s="21"/>
      <c r="NVU183" s="21"/>
      <c r="NVV183" s="21"/>
      <c r="NVW183" s="21"/>
      <c r="NVX183" s="21"/>
      <c r="NVY183" s="21"/>
      <c r="NVZ183" s="21"/>
      <c r="NWA183" s="21"/>
      <c r="NWB183" s="21"/>
      <c r="NWC183" s="21"/>
      <c r="NWD183" s="21"/>
      <c r="NWE183" s="21"/>
      <c r="NWF183" s="21"/>
      <c r="NWG183" s="21"/>
      <c r="NWH183" s="21"/>
      <c r="NWI183" s="21"/>
      <c r="NWJ183" s="21"/>
      <c r="NWK183" s="21"/>
      <c r="NWL183" s="21"/>
      <c r="NWM183" s="21"/>
      <c r="NWN183" s="21"/>
      <c r="NWO183" s="21"/>
      <c r="NWP183" s="21"/>
      <c r="NWQ183" s="21"/>
      <c r="NWR183" s="21"/>
      <c r="NWS183" s="21"/>
      <c r="NWT183" s="21"/>
      <c r="NWU183" s="21"/>
      <c r="NWV183" s="21"/>
      <c r="NWW183" s="21"/>
      <c r="NWX183" s="21"/>
      <c r="NWY183" s="21"/>
      <c r="NWZ183" s="21"/>
      <c r="NXA183" s="21"/>
      <c r="NXB183" s="21"/>
      <c r="NXC183" s="21"/>
      <c r="NXD183" s="21"/>
      <c r="NXE183" s="21"/>
      <c r="NXF183" s="21"/>
      <c r="NXG183" s="21"/>
      <c r="NXH183" s="21"/>
      <c r="NXI183" s="21"/>
      <c r="NXJ183" s="21"/>
      <c r="NXK183" s="21"/>
      <c r="NXL183" s="21"/>
      <c r="NXM183" s="21"/>
      <c r="NXN183" s="21"/>
      <c r="NXO183" s="21"/>
      <c r="NXP183" s="21"/>
      <c r="NXQ183" s="21"/>
      <c r="NXR183" s="21"/>
      <c r="NXS183" s="21"/>
      <c r="NXT183" s="21"/>
      <c r="NXU183" s="21"/>
      <c r="NXV183" s="21"/>
      <c r="NXW183" s="21"/>
      <c r="NXX183" s="21"/>
      <c r="NXY183" s="21"/>
      <c r="NXZ183" s="21"/>
      <c r="NYA183" s="21"/>
      <c r="NYB183" s="21"/>
      <c r="NYC183" s="21"/>
      <c r="NYD183" s="21"/>
      <c r="NYE183" s="21"/>
      <c r="NYF183" s="21"/>
      <c r="NYG183" s="21"/>
      <c r="NYH183" s="21"/>
      <c r="NYI183" s="21"/>
      <c r="NYJ183" s="21"/>
      <c r="NYK183" s="21"/>
      <c r="NYL183" s="21"/>
      <c r="NYM183" s="21"/>
      <c r="NYN183" s="21"/>
      <c r="NYO183" s="21"/>
      <c r="NYP183" s="21"/>
      <c r="NYQ183" s="21"/>
      <c r="NYR183" s="21"/>
      <c r="NYS183" s="21"/>
      <c r="NYT183" s="21"/>
      <c r="NYU183" s="21"/>
      <c r="NYV183" s="21"/>
      <c r="NYW183" s="21"/>
      <c r="NYX183" s="21"/>
      <c r="NYY183" s="21"/>
      <c r="NYZ183" s="21"/>
      <c r="NZA183" s="21"/>
      <c r="NZB183" s="21"/>
      <c r="NZC183" s="21"/>
      <c r="NZD183" s="21"/>
      <c r="NZE183" s="21"/>
      <c r="NZF183" s="21"/>
      <c r="NZG183" s="21"/>
      <c r="NZH183" s="21"/>
      <c r="NZI183" s="21"/>
      <c r="NZJ183" s="21"/>
      <c r="NZK183" s="21"/>
      <c r="NZL183" s="21"/>
      <c r="NZM183" s="21"/>
      <c r="NZN183" s="21"/>
      <c r="NZO183" s="21"/>
      <c r="NZP183" s="21"/>
      <c r="NZQ183" s="21"/>
      <c r="NZR183" s="21"/>
      <c r="NZS183" s="21"/>
      <c r="NZT183" s="21"/>
      <c r="NZU183" s="21"/>
      <c r="NZV183" s="21"/>
      <c r="NZW183" s="21"/>
      <c r="NZX183" s="21"/>
      <c r="NZY183" s="21"/>
      <c r="NZZ183" s="21"/>
      <c r="OAA183" s="21"/>
      <c r="OAB183" s="21"/>
      <c r="OAC183" s="21"/>
      <c r="OAD183" s="21"/>
      <c r="OAE183" s="21"/>
      <c r="OAF183" s="21"/>
      <c r="OAG183" s="21"/>
      <c r="OAH183" s="21"/>
      <c r="OAI183" s="21"/>
      <c r="OAJ183" s="21"/>
      <c r="OAK183" s="21"/>
      <c r="OAL183" s="21"/>
      <c r="OAM183" s="21"/>
      <c r="OAN183" s="21"/>
      <c r="OAO183" s="21"/>
      <c r="OAP183" s="21"/>
      <c r="OAQ183" s="21"/>
      <c r="OAR183" s="21"/>
      <c r="OAS183" s="21"/>
      <c r="OAT183" s="21"/>
      <c r="OAU183" s="21"/>
      <c r="OAV183" s="21"/>
      <c r="OAW183" s="21"/>
      <c r="OAX183" s="21"/>
      <c r="OAY183" s="21"/>
      <c r="OAZ183" s="21"/>
      <c r="OBA183" s="21"/>
      <c r="OBB183" s="21"/>
      <c r="OBC183" s="21"/>
      <c r="OBD183" s="21"/>
      <c r="OBE183" s="21"/>
      <c r="OBF183" s="21"/>
      <c r="OBG183" s="21"/>
      <c r="OBH183" s="21"/>
      <c r="OBI183" s="21"/>
      <c r="OBJ183" s="21"/>
      <c r="OBK183" s="21"/>
      <c r="OBL183" s="21"/>
      <c r="OBM183" s="21"/>
      <c r="OBN183" s="21"/>
      <c r="OBO183" s="21"/>
      <c r="OBP183" s="21"/>
      <c r="OBQ183" s="21"/>
      <c r="OBR183" s="21"/>
      <c r="OBS183" s="21"/>
      <c r="OBT183" s="21"/>
      <c r="OBU183" s="21"/>
      <c r="OBV183" s="21"/>
      <c r="OBW183" s="21"/>
      <c r="OBX183" s="21"/>
      <c r="OBY183" s="21"/>
      <c r="OBZ183" s="21"/>
      <c r="OCA183" s="21"/>
      <c r="OCB183" s="21"/>
      <c r="OCC183" s="21"/>
      <c r="OCD183" s="21"/>
      <c r="OCE183" s="21"/>
      <c r="OCF183" s="21"/>
      <c r="OCG183" s="21"/>
      <c r="OCH183" s="21"/>
      <c r="OCI183" s="21"/>
      <c r="OCJ183" s="21"/>
      <c r="OCK183" s="21"/>
      <c r="OCL183" s="21"/>
      <c r="OCM183" s="21"/>
      <c r="OCN183" s="21"/>
      <c r="OCO183" s="21"/>
      <c r="OCP183" s="21"/>
      <c r="OCQ183" s="21"/>
      <c r="OCR183" s="21"/>
      <c r="OCS183" s="21"/>
      <c r="OCT183" s="21"/>
      <c r="OCU183" s="21"/>
      <c r="OCV183" s="21"/>
      <c r="OCW183" s="21"/>
      <c r="OCX183" s="21"/>
      <c r="OCY183" s="21"/>
      <c r="OCZ183" s="21"/>
      <c r="ODA183" s="21"/>
      <c r="ODB183" s="21"/>
      <c r="ODC183" s="21"/>
      <c r="ODD183" s="21"/>
      <c r="ODE183" s="21"/>
      <c r="ODF183" s="21"/>
      <c r="ODG183" s="21"/>
      <c r="ODH183" s="21"/>
      <c r="ODI183" s="21"/>
      <c r="ODJ183" s="21"/>
      <c r="ODK183" s="21"/>
      <c r="ODL183" s="21"/>
      <c r="ODM183" s="21"/>
      <c r="ODN183" s="21"/>
      <c r="ODO183" s="21"/>
      <c r="ODP183" s="21"/>
      <c r="ODQ183" s="21"/>
      <c r="ODR183" s="21"/>
      <c r="ODS183" s="21"/>
      <c r="ODT183" s="21"/>
      <c r="ODU183" s="21"/>
      <c r="ODV183" s="21"/>
      <c r="ODW183" s="21"/>
      <c r="ODX183" s="21"/>
      <c r="ODY183" s="21"/>
      <c r="ODZ183" s="21"/>
      <c r="OEA183" s="21"/>
      <c r="OEB183" s="21"/>
      <c r="OEC183" s="21"/>
      <c r="OED183" s="21"/>
      <c r="OEE183" s="21"/>
      <c r="OEF183" s="21"/>
      <c r="OEG183" s="21"/>
      <c r="OEH183" s="21"/>
      <c r="OEI183" s="21"/>
      <c r="OEJ183" s="21"/>
      <c r="OEK183" s="21"/>
      <c r="OEL183" s="21"/>
      <c r="OEM183" s="21"/>
      <c r="OEN183" s="21"/>
      <c r="OEO183" s="21"/>
      <c r="OEP183" s="21"/>
      <c r="OEQ183" s="21"/>
      <c r="OER183" s="21"/>
      <c r="OES183" s="21"/>
      <c r="OET183" s="21"/>
      <c r="OEU183" s="21"/>
      <c r="OEV183" s="21"/>
      <c r="OEW183" s="21"/>
      <c r="OEX183" s="21"/>
      <c r="OEY183" s="21"/>
      <c r="OEZ183" s="21"/>
      <c r="OFA183" s="21"/>
      <c r="OFB183" s="21"/>
      <c r="OFC183" s="21"/>
      <c r="OFD183" s="21"/>
      <c r="OFE183" s="21"/>
      <c r="OFF183" s="21"/>
      <c r="OFG183" s="21"/>
      <c r="OFH183" s="21"/>
      <c r="OFI183" s="21"/>
      <c r="OFJ183" s="21"/>
      <c r="OFK183" s="21"/>
      <c r="OFL183" s="21"/>
      <c r="OFM183" s="21"/>
      <c r="OFN183" s="21"/>
      <c r="OFO183" s="21"/>
      <c r="OFP183" s="21"/>
      <c r="OFQ183" s="21"/>
      <c r="OFR183" s="21"/>
      <c r="OFS183" s="21"/>
      <c r="OFT183" s="21"/>
      <c r="OFU183" s="21"/>
      <c r="OFV183" s="21"/>
      <c r="OFW183" s="21"/>
      <c r="OFX183" s="21"/>
      <c r="OFY183" s="21"/>
      <c r="OFZ183" s="21"/>
      <c r="OGA183" s="21"/>
      <c r="OGB183" s="21"/>
      <c r="OGC183" s="21"/>
      <c r="OGD183" s="21"/>
      <c r="OGE183" s="21"/>
      <c r="OGF183" s="21"/>
      <c r="OGG183" s="21"/>
      <c r="OGH183" s="21"/>
      <c r="OGI183" s="21"/>
      <c r="OGJ183" s="21"/>
      <c r="OGK183" s="21"/>
      <c r="OGL183" s="21"/>
      <c r="OGM183" s="21"/>
      <c r="OGN183" s="21"/>
      <c r="OGO183" s="21"/>
      <c r="OGP183" s="21"/>
      <c r="OGQ183" s="21"/>
      <c r="OGR183" s="21"/>
      <c r="OGS183" s="21"/>
      <c r="OGT183" s="21"/>
      <c r="OGU183" s="21"/>
      <c r="OGV183" s="21"/>
      <c r="OGW183" s="21"/>
      <c r="OGX183" s="21"/>
      <c r="OGY183" s="21"/>
      <c r="OGZ183" s="21"/>
      <c r="OHA183" s="21"/>
      <c r="OHB183" s="21"/>
      <c r="OHC183" s="21"/>
      <c r="OHD183" s="21"/>
      <c r="OHE183" s="21"/>
      <c r="OHF183" s="21"/>
      <c r="OHG183" s="21"/>
      <c r="OHH183" s="21"/>
      <c r="OHI183" s="21"/>
      <c r="OHJ183" s="21"/>
      <c r="OHK183" s="21"/>
      <c r="OHL183" s="21"/>
      <c r="OHM183" s="21"/>
      <c r="OHN183" s="21"/>
      <c r="OHO183" s="21"/>
      <c r="OHP183" s="21"/>
      <c r="OHQ183" s="21"/>
      <c r="OHR183" s="21"/>
      <c r="OHS183" s="21"/>
      <c r="OHT183" s="21"/>
      <c r="OHU183" s="21"/>
      <c r="OHV183" s="21"/>
      <c r="OHW183" s="21"/>
      <c r="OHX183" s="21"/>
      <c r="OHY183" s="21"/>
      <c r="OHZ183" s="21"/>
      <c r="OIA183" s="21"/>
      <c r="OIB183" s="21"/>
      <c r="OIC183" s="21"/>
      <c r="OID183" s="21"/>
      <c r="OIE183" s="21"/>
      <c r="OIF183" s="21"/>
      <c r="OIG183" s="21"/>
      <c r="OIH183" s="21"/>
      <c r="OII183" s="21"/>
      <c r="OIJ183" s="21"/>
      <c r="OIK183" s="21"/>
      <c r="OIL183" s="21"/>
      <c r="OIM183" s="21"/>
      <c r="OIN183" s="21"/>
      <c r="OIO183" s="21"/>
      <c r="OIP183" s="21"/>
      <c r="OIQ183" s="21"/>
      <c r="OIR183" s="21"/>
      <c r="OIS183" s="21"/>
      <c r="OIT183" s="21"/>
      <c r="OIU183" s="21"/>
      <c r="OIV183" s="21"/>
      <c r="OIW183" s="21"/>
      <c r="OIX183" s="21"/>
      <c r="OIY183" s="21"/>
      <c r="OIZ183" s="21"/>
      <c r="OJA183" s="21"/>
      <c r="OJB183" s="21"/>
      <c r="OJC183" s="21"/>
      <c r="OJD183" s="21"/>
      <c r="OJE183" s="21"/>
      <c r="OJF183" s="21"/>
      <c r="OJG183" s="21"/>
      <c r="OJH183" s="21"/>
      <c r="OJI183" s="21"/>
      <c r="OJJ183" s="21"/>
      <c r="OJK183" s="21"/>
      <c r="OJL183" s="21"/>
      <c r="OJM183" s="21"/>
      <c r="OJN183" s="21"/>
      <c r="OJO183" s="21"/>
      <c r="OJP183" s="21"/>
      <c r="OJQ183" s="21"/>
      <c r="OJR183" s="21"/>
      <c r="OJS183" s="21"/>
      <c r="OJT183" s="21"/>
      <c r="OJU183" s="21"/>
      <c r="OJV183" s="21"/>
      <c r="OJW183" s="21"/>
      <c r="OJX183" s="21"/>
      <c r="OJY183" s="21"/>
      <c r="OJZ183" s="21"/>
      <c r="OKA183" s="21"/>
      <c r="OKB183" s="21"/>
      <c r="OKC183" s="21"/>
      <c r="OKD183" s="21"/>
      <c r="OKE183" s="21"/>
      <c r="OKF183" s="21"/>
      <c r="OKG183" s="21"/>
      <c r="OKH183" s="21"/>
      <c r="OKI183" s="21"/>
      <c r="OKJ183" s="21"/>
      <c r="OKK183" s="21"/>
      <c r="OKL183" s="21"/>
      <c r="OKM183" s="21"/>
      <c r="OKN183" s="21"/>
      <c r="OKO183" s="21"/>
      <c r="OKP183" s="21"/>
      <c r="OKQ183" s="21"/>
      <c r="OKR183" s="21"/>
      <c r="OKS183" s="21"/>
      <c r="OKT183" s="21"/>
      <c r="OKU183" s="21"/>
      <c r="OKV183" s="21"/>
      <c r="OKW183" s="21"/>
      <c r="OKX183" s="21"/>
      <c r="OKY183" s="21"/>
      <c r="OKZ183" s="21"/>
      <c r="OLA183" s="21"/>
      <c r="OLB183" s="21"/>
      <c r="OLC183" s="21"/>
      <c r="OLD183" s="21"/>
      <c r="OLE183" s="21"/>
      <c r="OLF183" s="21"/>
      <c r="OLG183" s="21"/>
      <c r="OLH183" s="21"/>
      <c r="OLI183" s="21"/>
      <c r="OLJ183" s="21"/>
      <c r="OLK183" s="21"/>
      <c r="OLL183" s="21"/>
      <c r="OLM183" s="21"/>
      <c r="OLN183" s="21"/>
      <c r="OLO183" s="21"/>
      <c r="OLP183" s="21"/>
      <c r="OLQ183" s="21"/>
      <c r="OLR183" s="21"/>
      <c r="OLS183" s="21"/>
      <c r="OLT183" s="21"/>
      <c r="OLU183" s="21"/>
      <c r="OLV183" s="21"/>
      <c r="OLW183" s="21"/>
      <c r="OLX183" s="21"/>
      <c r="OLY183" s="21"/>
      <c r="OLZ183" s="21"/>
      <c r="OMA183" s="21"/>
      <c r="OMB183" s="21"/>
      <c r="OMC183" s="21"/>
      <c r="OMD183" s="21"/>
      <c r="OME183" s="21"/>
      <c r="OMF183" s="21"/>
      <c r="OMG183" s="21"/>
      <c r="OMH183" s="21"/>
      <c r="OMI183" s="21"/>
      <c r="OMJ183" s="21"/>
      <c r="OMK183" s="21"/>
      <c r="OML183" s="21"/>
      <c r="OMM183" s="21"/>
      <c r="OMN183" s="21"/>
      <c r="OMO183" s="21"/>
      <c r="OMP183" s="21"/>
      <c r="OMQ183" s="21"/>
      <c r="OMR183" s="21"/>
      <c r="OMS183" s="21"/>
      <c r="OMT183" s="21"/>
      <c r="OMU183" s="21"/>
      <c r="OMV183" s="21"/>
      <c r="OMW183" s="21"/>
      <c r="OMX183" s="21"/>
      <c r="OMY183" s="21"/>
      <c r="OMZ183" s="21"/>
      <c r="ONA183" s="21"/>
      <c r="ONB183" s="21"/>
      <c r="ONC183" s="21"/>
      <c r="OND183" s="21"/>
      <c r="ONE183" s="21"/>
      <c r="ONF183" s="21"/>
      <c r="ONG183" s="21"/>
      <c r="ONH183" s="21"/>
      <c r="ONI183" s="21"/>
      <c r="ONJ183" s="21"/>
      <c r="ONK183" s="21"/>
      <c r="ONL183" s="21"/>
      <c r="ONM183" s="21"/>
      <c r="ONN183" s="21"/>
      <c r="ONO183" s="21"/>
      <c r="ONP183" s="21"/>
      <c r="ONQ183" s="21"/>
      <c r="ONR183" s="21"/>
      <c r="ONS183" s="21"/>
      <c r="ONT183" s="21"/>
      <c r="ONU183" s="21"/>
      <c r="ONV183" s="21"/>
      <c r="ONW183" s="21"/>
      <c r="ONX183" s="21"/>
      <c r="ONY183" s="21"/>
      <c r="ONZ183" s="21"/>
      <c r="OOA183" s="21"/>
      <c r="OOB183" s="21"/>
      <c r="OOC183" s="21"/>
      <c r="OOD183" s="21"/>
      <c r="OOE183" s="21"/>
      <c r="OOF183" s="21"/>
      <c r="OOG183" s="21"/>
      <c r="OOH183" s="21"/>
      <c r="OOI183" s="21"/>
      <c r="OOJ183" s="21"/>
      <c r="OOK183" s="21"/>
      <c r="OOL183" s="21"/>
      <c r="OOM183" s="21"/>
      <c r="OON183" s="21"/>
      <c r="OOO183" s="21"/>
      <c r="OOP183" s="21"/>
      <c r="OOQ183" s="21"/>
      <c r="OOR183" s="21"/>
      <c r="OOS183" s="21"/>
      <c r="OOT183" s="21"/>
      <c r="OOU183" s="21"/>
      <c r="OOV183" s="21"/>
      <c r="OOW183" s="21"/>
      <c r="OOX183" s="21"/>
      <c r="OOY183" s="21"/>
      <c r="OOZ183" s="21"/>
      <c r="OPA183" s="21"/>
      <c r="OPB183" s="21"/>
      <c r="OPC183" s="21"/>
      <c r="OPD183" s="21"/>
      <c r="OPE183" s="21"/>
      <c r="OPF183" s="21"/>
      <c r="OPG183" s="21"/>
      <c r="OPH183" s="21"/>
      <c r="OPI183" s="21"/>
      <c r="OPJ183" s="21"/>
      <c r="OPK183" s="21"/>
      <c r="OPL183" s="21"/>
      <c r="OPM183" s="21"/>
      <c r="OPN183" s="21"/>
      <c r="OPO183" s="21"/>
      <c r="OPP183" s="21"/>
      <c r="OPQ183" s="21"/>
      <c r="OPR183" s="21"/>
      <c r="OPS183" s="21"/>
      <c r="OPT183" s="21"/>
      <c r="OPU183" s="21"/>
      <c r="OPV183" s="21"/>
      <c r="OPW183" s="21"/>
      <c r="OPX183" s="21"/>
      <c r="OPY183" s="21"/>
      <c r="OPZ183" s="21"/>
      <c r="OQA183" s="21"/>
      <c r="OQB183" s="21"/>
      <c r="OQC183" s="21"/>
      <c r="OQD183" s="21"/>
      <c r="OQE183" s="21"/>
      <c r="OQF183" s="21"/>
      <c r="OQG183" s="21"/>
      <c r="OQH183" s="21"/>
      <c r="OQI183" s="21"/>
      <c r="OQJ183" s="21"/>
      <c r="OQK183" s="21"/>
      <c r="OQL183" s="21"/>
      <c r="OQM183" s="21"/>
      <c r="OQN183" s="21"/>
      <c r="OQO183" s="21"/>
      <c r="OQP183" s="21"/>
      <c r="OQQ183" s="21"/>
      <c r="OQR183" s="21"/>
      <c r="OQS183" s="21"/>
      <c r="OQT183" s="21"/>
      <c r="OQU183" s="21"/>
      <c r="OQV183" s="21"/>
      <c r="OQW183" s="21"/>
      <c r="OQX183" s="21"/>
      <c r="OQY183" s="21"/>
      <c r="OQZ183" s="21"/>
      <c r="ORA183" s="21"/>
      <c r="ORB183" s="21"/>
      <c r="ORC183" s="21"/>
      <c r="ORD183" s="21"/>
      <c r="ORE183" s="21"/>
      <c r="ORF183" s="21"/>
      <c r="ORG183" s="21"/>
      <c r="ORH183" s="21"/>
      <c r="ORI183" s="21"/>
      <c r="ORJ183" s="21"/>
      <c r="ORK183" s="21"/>
      <c r="ORL183" s="21"/>
      <c r="ORM183" s="21"/>
      <c r="ORN183" s="21"/>
      <c r="ORO183" s="21"/>
      <c r="ORP183" s="21"/>
      <c r="ORQ183" s="21"/>
      <c r="ORR183" s="21"/>
      <c r="ORS183" s="21"/>
      <c r="ORT183" s="21"/>
      <c r="ORU183" s="21"/>
      <c r="ORV183" s="21"/>
      <c r="ORW183" s="21"/>
      <c r="ORX183" s="21"/>
      <c r="ORY183" s="21"/>
      <c r="ORZ183" s="21"/>
      <c r="OSA183" s="21"/>
      <c r="OSB183" s="21"/>
      <c r="OSC183" s="21"/>
      <c r="OSD183" s="21"/>
      <c r="OSE183" s="21"/>
      <c r="OSF183" s="21"/>
      <c r="OSG183" s="21"/>
      <c r="OSH183" s="21"/>
      <c r="OSI183" s="21"/>
      <c r="OSJ183" s="21"/>
      <c r="OSK183" s="21"/>
      <c r="OSL183" s="21"/>
      <c r="OSM183" s="21"/>
      <c r="OSN183" s="21"/>
      <c r="OSO183" s="21"/>
      <c r="OSP183" s="21"/>
      <c r="OSQ183" s="21"/>
      <c r="OSR183" s="21"/>
      <c r="OSS183" s="21"/>
      <c r="OST183" s="21"/>
      <c r="OSU183" s="21"/>
      <c r="OSV183" s="21"/>
      <c r="OSW183" s="21"/>
      <c r="OSX183" s="21"/>
      <c r="OSY183" s="21"/>
      <c r="OSZ183" s="21"/>
      <c r="OTA183" s="21"/>
      <c r="OTB183" s="21"/>
      <c r="OTC183" s="21"/>
      <c r="OTD183" s="21"/>
      <c r="OTE183" s="21"/>
      <c r="OTF183" s="21"/>
      <c r="OTG183" s="21"/>
      <c r="OTH183" s="21"/>
      <c r="OTI183" s="21"/>
      <c r="OTJ183" s="21"/>
      <c r="OTK183" s="21"/>
      <c r="OTL183" s="21"/>
      <c r="OTM183" s="21"/>
      <c r="OTN183" s="21"/>
      <c r="OTO183" s="21"/>
      <c r="OTP183" s="21"/>
      <c r="OTQ183" s="21"/>
      <c r="OTR183" s="21"/>
      <c r="OTS183" s="21"/>
      <c r="OTT183" s="21"/>
      <c r="OTU183" s="21"/>
      <c r="OTV183" s="21"/>
      <c r="OTW183" s="21"/>
      <c r="OTX183" s="21"/>
      <c r="OTY183" s="21"/>
      <c r="OTZ183" s="21"/>
      <c r="OUA183" s="21"/>
      <c r="OUB183" s="21"/>
      <c r="OUC183" s="21"/>
      <c r="OUD183" s="21"/>
      <c r="OUE183" s="21"/>
      <c r="OUF183" s="21"/>
      <c r="OUG183" s="21"/>
      <c r="OUH183" s="21"/>
      <c r="OUI183" s="21"/>
      <c r="OUJ183" s="21"/>
      <c r="OUK183" s="21"/>
      <c r="OUL183" s="21"/>
      <c r="OUM183" s="21"/>
      <c r="OUN183" s="21"/>
      <c r="OUO183" s="21"/>
      <c r="OUP183" s="21"/>
      <c r="OUQ183" s="21"/>
      <c r="OUR183" s="21"/>
      <c r="OUS183" s="21"/>
      <c r="OUT183" s="21"/>
      <c r="OUU183" s="21"/>
      <c r="OUV183" s="21"/>
      <c r="OUW183" s="21"/>
      <c r="OUX183" s="21"/>
      <c r="OUY183" s="21"/>
      <c r="OUZ183" s="21"/>
      <c r="OVA183" s="21"/>
      <c r="OVB183" s="21"/>
      <c r="OVC183" s="21"/>
      <c r="OVD183" s="21"/>
      <c r="OVE183" s="21"/>
      <c r="OVF183" s="21"/>
      <c r="OVG183" s="21"/>
      <c r="OVH183" s="21"/>
      <c r="OVI183" s="21"/>
      <c r="OVJ183" s="21"/>
      <c r="OVK183" s="21"/>
      <c r="OVL183" s="21"/>
      <c r="OVM183" s="21"/>
      <c r="OVN183" s="21"/>
      <c r="OVO183" s="21"/>
      <c r="OVP183" s="21"/>
      <c r="OVQ183" s="21"/>
      <c r="OVR183" s="21"/>
      <c r="OVS183" s="21"/>
      <c r="OVT183" s="21"/>
      <c r="OVU183" s="21"/>
      <c r="OVV183" s="21"/>
      <c r="OVW183" s="21"/>
      <c r="OVX183" s="21"/>
      <c r="OVY183" s="21"/>
      <c r="OVZ183" s="21"/>
      <c r="OWA183" s="21"/>
      <c r="OWB183" s="21"/>
      <c r="OWC183" s="21"/>
      <c r="OWD183" s="21"/>
      <c r="OWE183" s="21"/>
      <c r="OWF183" s="21"/>
      <c r="OWG183" s="21"/>
      <c r="OWH183" s="21"/>
      <c r="OWI183" s="21"/>
      <c r="OWJ183" s="21"/>
      <c r="OWK183" s="21"/>
      <c r="OWL183" s="21"/>
      <c r="OWM183" s="21"/>
      <c r="OWN183" s="21"/>
      <c r="OWO183" s="21"/>
      <c r="OWP183" s="21"/>
      <c r="OWQ183" s="21"/>
      <c r="OWR183" s="21"/>
      <c r="OWS183" s="21"/>
      <c r="OWT183" s="21"/>
      <c r="OWU183" s="21"/>
      <c r="OWV183" s="21"/>
      <c r="OWW183" s="21"/>
      <c r="OWX183" s="21"/>
      <c r="OWY183" s="21"/>
      <c r="OWZ183" s="21"/>
      <c r="OXA183" s="21"/>
      <c r="OXB183" s="21"/>
      <c r="OXC183" s="21"/>
      <c r="OXD183" s="21"/>
      <c r="OXE183" s="21"/>
      <c r="OXF183" s="21"/>
      <c r="OXG183" s="21"/>
      <c r="OXH183" s="21"/>
      <c r="OXI183" s="21"/>
      <c r="OXJ183" s="21"/>
      <c r="OXK183" s="21"/>
      <c r="OXL183" s="21"/>
      <c r="OXM183" s="21"/>
      <c r="OXN183" s="21"/>
      <c r="OXO183" s="21"/>
      <c r="OXP183" s="21"/>
      <c r="OXQ183" s="21"/>
      <c r="OXR183" s="21"/>
      <c r="OXS183" s="21"/>
      <c r="OXT183" s="21"/>
      <c r="OXU183" s="21"/>
      <c r="OXV183" s="21"/>
      <c r="OXW183" s="21"/>
      <c r="OXX183" s="21"/>
      <c r="OXY183" s="21"/>
      <c r="OXZ183" s="21"/>
      <c r="OYA183" s="21"/>
      <c r="OYB183" s="21"/>
      <c r="OYC183" s="21"/>
      <c r="OYD183" s="21"/>
      <c r="OYE183" s="21"/>
      <c r="OYF183" s="21"/>
      <c r="OYG183" s="21"/>
      <c r="OYH183" s="21"/>
      <c r="OYI183" s="21"/>
      <c r="OYJ183" s="21"/>
      <c r="OYK183" s="21"/>
      <c r="OYL183" s="21"/>
      <c r="OYM183" s="21"/>
      <c r="OYN183" s="21"/>
      <c r="OYO183" s="21"/>
      <c r="OYP183" s="21"/>
      <c r="OYQ183" s="21"/>
      <c r="OYR183" s="21"/>
      <c r="OYS183" s="21"/>
      <c r="OYT183" s="21"/>
      <c r="OYU183" s="21"/>
      <c r="OYV183" s="21"/>
      <c r="OYW183" s="21"/>
      <c r="OYX183" s="21"/>
      <c r="OYY183" s="21"/>
      <c r="OYZ183" s="21"/>
      <c r="OZA183" s="21"/>
      <c r="OZB183" s="21"/>
      <c r="OZC183" s="21"/>
      <c r="OZD183" s="21"/>
      <c r="OZE183" s="21"/>
      <c r="OZF183" s="21"/>
      <c r="OZG183" s="21"/>
      <c r="OZH183" s="21"/>
      <c r="OZI183" s="21"/>
      <c r="OZJ183" s="21"/>
      <c r="OZK183" s="21"/>
      <c r="OZL183" s="21"/>
      <c r="OZM183" s="21"/>
      <c r="OZN183" s="21"/>
      <c r="OZO183" s="21"/>
      <c r="OZP183" s="21"/>
      <c r="OZQ183" s="21"/>
      <c r="OZR183" s="21"/>
      <c r="OZS183" s="21"/>
      <c r="OZT183" s="21"/>
      <c r="OZU183" s="21"/>
      <c r="OZV183" s="21"/>
      <c r="OZW183" s="21"/>
      <c r="OZX183" s="21"/>
      <c r="OZY183" s="21"/>
      <c r="OZZ183" s="21"/>
      <c r="PAA183" s="21"/>
      <c r="PAB183" s="21"/>
      <c r="PAC183" s="21"/>
      <c r="PAD183" s="21"/>
      <c r="PAE183" s="21"/>
      <c r="PAF183" s="21"/>
      <c r="PAG183" s="21"/>
      <c r="PAH183" s="21"/>
      <c r="PAI183" s="21"/>
      <c r="PAJ183" s="21"/>
      <c r="PAK183" s="21"/>
      <c r="PAL183" s="21"/>
      <c r="PAM183" s="21"/>
      <c r="PAN183" s="21"/>
      <c r="PAO183" s="21"/>
      <c r="PAP183" s="21"/>
      <c r="PAQ183" s="21"/>
      <c r="PAR183" s="21"/>
      <c r="PAS183" s="21"/>
      <c r="PAT183" s="21"/>
      <c r="PAU183" s="21"/>
      <c r="PAV183" s="21"/>
      <c r="PAW183" s="21"/>
      <c r="PAX183" s="21"/>
      <c r="PAY183" s="21"/>
      <c r="PAZ183" s="21"/>
      <c r="PBA183" s="21"/>
      <c r="PBB183" s="21"/>
      <c r="PBC183" s="21"/>
      <c r="PBD183" s="21"/>
      <c r="PBE183" s="21"/>
      <c r="PBF183" s="21"/>
      <c r="PBG183" s="21"/>
      <c r="PBH183" s="21"/>
      <c r="PBI183" s="21"/>
      <c r="PBJ183" s="21"/>
      <c r="PBK183" s="21"/>
      <c r="PBL183" s="21"/>
      <c r="PBM183" s="21"/>
      <c r="PBN183" s="21"/>
      <c r="PBO183" s="21"/>
      <c r="PBP183" s="21"/>
      <c r="PBQ183" s="21"/>
      <c r="PBR183" s="21"/>
      <c r="PBS183" s="21"/>
      <c r="PBT183" s="21"/>
      <c r="PBU183" s="21"/>
      <c r="PBV183" s="21"/>
      <c r="PBW183" s="21"/>
      <c r="PBX183" s="21"/>
      <c r="PBY183" s="21"/>
      <c r="PBZ183" s="21"/>
      <c r="PCA183" s="21"/>
      <c r="PCB183" s="21"/>
      <c r="PCC183" s="21"/>
      <c r="PCD183" s="21"/>
      <c r="PCE183" s="21"/>
      <c r="PCF183" s="21"/>
      <c r="PCG183" s="21"/>
      <c r="PCH183" s="21"/>
      <c r="PCI183" s="21"/>
      <c r="PCJ183" s="21"/>
      <c r="PCK183" s="21"/>
      <c r="PCL183" s="21"/>
      <c r="PCM183" s="21"/>
      <c r="PCN183" s="21"/>
      <c r="PCO183" s="21"/>
      <c r="PCP183" s="21"/>
      <c r="PCQ183" s="21"/>
      <c r="PCR183" s="21"/>
      <c r="PCS183" s="21"/>
      <c r="PCT183" s="21"/>
      <c r="PCU183" s="21"/>
      <c r="PCV183" s="21"/>
      <c r="PCW183" s="21"/>
      <c r="PCX183" s="21"/>
      <c r="PCY183" s="21"/>
      <c r="PCZ183" s="21"/>
      <c r="PDA183" s="21"/>
      <c r="PDB183" s="21"/>
      <c r="PDC183" s="21"/>
      <c r="PDD183" s="21"/>
      <c r="PDE183" s="21"/>
      <c r="PDF183" s="21"/>
      <c r="PDG183" s="21"/>
      <c r="PDH183" s="21"/>
      <c r="PDI183" s="21"/>
      <c r="PDJ183" s="21"/>
      <c r="PDK183" s="21"/>
      <c r="PDL183" s="21"/>
      <c r="PDM183" s="21"/>
      <c r="PDN183" s="21"/>
      <c r="PDO183" s="21"/>
      <c r="PDP183" s="21"/>
      <c r="PDQ183" s="21"/>
      <c r="PDR183" s="21"/>
      <c r="PDS183" s="21"/>
      <c r="PDT183" s="21"/>
      <c r="PDU183" s="21"/>
      <c r="PDV183" s="21"/>
      <c r="PDW183" s="21"/>
      <c r="PDX183" s="21"/>
      <c r="PDY183" s="21"/>
      <c r="PDZ183" s="21"/>
      <c r="PEA183" s="21"/>
      <c r="PEB183" s="21"/>
      <c r="PEC183" s="21"/>
      <c r="PED183" s="21"/>
      <c r="PEE183" s="21"/>
      <c r="PEF183" s="21"/>
      <c r="PEG183" s="21"/>
      <c r="PEH183" s="21"/>
      <c r="PEI183" s="21"/>
      <c r="PEJ183" s="21"/>
      <c r="PEK183" s="21"/>
      <c r="PEL183" s="21"/>
      <c r="PEM183" s="21"/>
      <c r="PEN183" s="21"/>
      <c r="PEO183" s="21"/>
      <c r="PEP183" s="21"/>
      <c r="PEQ183" s="21"/>
      <c r="PER183" s="21"/>
      <c r="PES183" s="21"/>
      <c r="PET183" s="21"/>
      <c r="PEU183" s="21"/>
      <c r="PEV183" s="21"/>
      <c r="PEW183" s="21"/>
      <c r="PEX183" s="21"/>
      <c r="PEY183" s="21"/>
      <c r="PEZ183" s="21"/>
      <c r="PFA183" s="21"/>
      <c r="PFB183" s="21"/>
      <c r="PFC183" s="21"/>
      <c r="PFD183" s="21"/>
      <c r="PFE183" s="21"/>
      <c r="PFF183" s="21"/>
      <c r="PFG183" s="21"/>
      <c r="PFH183" s="21"/>
      <c r="PFI183" s="21"/>
      <c r="PFJ183" s="21"/>
      <c r="PFK183" s="21"/>
      <c r="PFL183" s="21"/>
      <c r="PFM183" s="21"/>
      <c r="PFN183" s="21"/>
      <c r="PFO183" s="21"/>
      <c r="PFP183" s="21"/>
      <c r="PFQ183" s="21"/>
      <c r="PFR183" s="21"/>
      <c r="PFS183" s="21"/>
      <c r="PFT183" s="21"/>
      <c r="PFU183" s="21"/>
      <c r="PFV183" s="21"/>
      <c r="PFW183" s="21"/>
      <c r="PFX183" s="21"/>
      <c r="PFY183" s="21"/>
      <c r="PFZ183" s="21"/>
      <c r="PGA183" s="21"/>
      <c r="PGB183" s="21"/>
      <c r="PGC183" s="21"/>
      <c r="PGD183" s="21"/>
      <c r="PGE183" s="21"/>
      <c r="PGF183" s="21"/>
      <c r="PGG183" s="21"/>
      <c r="PGH183" s="21"/>
      <c r="PGI183" s="21"/>
      <c r="PGJ183" s="21"/>
      <c r="PGK183" s="21"/>
      <c r="PGL183" s="21"/>
      <c r="PGM183" s="21"/>
      <c r="PGN183" s="21"/>
      <c r="PGO183" s="21"/>
      <c r="PGP183" s="21"/>
      <c r="PGQ183" s="21"/>
      <c r="PGR183" s="21"/>
      <c r="PGS183" s="21"/>
      <c r="PGT183" s="21"/>
      <c r="PGU183" s="21"/>
      <c r="PGV183" s="21"/>
      <c r="PGW183" s="21"/>
      <c r="PGX183" s="21"/>
      <c r="PGY183" s="21"/>
      <c r="PGZ183" s="21"/>
      <c r="PHA183" s="21"/>
      <c r="PHB183" s="21"/>
      <c r="PHC183" s="21"/>
      <c r="PHD183" s="21"/>
      <c r="PHE183" s="21"/>
      <c r="PHF183" s="21"/>
      <c r="PHG183" s="21"/>
      <c r="PHH183" s="21"/>
      <c r="PHI183" s="21"/>
      <c r="PHJ183" s="21"/>
      <c r="PHK183" s="21"/>
      <c r="PHL183" s="21"/>
      <c r="PHM183" s="21"/>
      <c r="PHN183" s="21"/>
      <c r="PHO183" s="21"/>
      <c r="PHP183" s="21"/>
      <c r="PHQ183" s="21"/>
      <c r="PHR183" s="21"/>
      <c r="PHS183" s="21"/>
      <c r="PHT183" s="21"/>
      <c r="PHU183" s="21"/>
      <c r="PHV183" s="21"/>
      <c r="PHW183" s="21"/>
      <c r="PHX183" s="21"/>
      <c r="PHY183" s="21"/>
      <c r="PHZ183" s="21"/>
      <c r="PIA183" s="21"/>
      <c r="PIB183" s="21"/>
      <c r="PIC183" s="21"/>
      <c r="PID183" s="21"/>
      <c r="PIE183" s="21"/>
      <c r="PIF183" s="21"/>
      <c r="PIG183" s="21"/>
      <c r="PIH183" s="21"/>
      <c r="PII183" s="21"/>
      <c r="PIJ183" s="21"/>
      <c r="PIK183" s="21"/>
      <c r="PIL183" s="21"/>
      <c r="PIM183" s="21"/>
      <c r="PIN183" s="21"/>
      <c r="PIO183" s="21"/>
      <c r="PIP183" s="21"/>
      <c r="PIQ183" s="21"/>
      <c r="PIR183" s="21"/>
      <c r="PIS183" s="21"/>
      <c r="PIT183" s="21"/>
      <c r="PIU183" s="21"/>
      <c r="PIV183" s="21"/>
      <c r="PIW183" s="21"/>
      <c r="PIX183" s="21"/>
      <c r="PIY183" s="21"/>
      <c r="PIZ183" s="21"/>
      <c r="PJA183" s="21"/>
      <c r="PJB183" s="21"/>
      <c r="PJC183" s="21"/>
      <c r="PJD183" s="21"/>
      <c r="PJE183" s="21"/>
      <c r="PJF183" s="21"/>
      <c r="PJG183" s="21"/>
      <c r="PJH183" s="21"/>
      <c r="PJI183" s="21"/>
      <c r="PJJ183" s="21"/>
      <c r="PJK183" s="21"/>
      <c r="PJL183" s="21"/>
      <c r="PJM183" s="21"/>
      <c r="PJN183" s="21"/>
      <c r="PJO183" s="21"/>
      <c r="PJP183" s="21"/>
      <c r="PJQ183" s="21"/>
      <c r="PJR183" s="21"/>
      <c r="PJS183" s="21"/>
      <c r="PJT183" s="21"/>
      <c r="PJU183" s="21"/>
      <c r="PJV183" s="21"/>
      <c r="PJW183" s="21"/>
      <c r="PJX183" s="21"/>
      <c r="PJY183" s="21"/>
      <c r="PJZ183" s="21"/>
      <c r="PKA183" s="21"/>
      <c r="PKB183" s="21"/>
      <c r="PKC183" s="21"/>
      <c r="PKD183" s="21"/>
      <c r="PKE183" s="21"/>
      <c r="PKF183" s="21"/>
      <c r="PKG183" s="21"/>
      <c r="PKH183" s="21"/>
      <c r="PKI183" s="21"/>
      <c r="PKJ183" s="21"/>
      <c r="PKK183" s="21"/>
      <c r="PKL183" s="21"/>
      <c r="PKM183" s="21"/>
      <c r="PKN183" s="21"/>
      <c r="PKO183" s="21"/>
      <c r="PKP183" s="21"/>
      <c r="PKQ183" s="21"/>
      <c r="PKR183" s="21"/>
      <c r="PKS183" s="21"/>
      <c r="PKT183" s="21"/>
      <c r="PKU183" s="21"/>
      <c r="PKV183" s="21"/>
      <c r="PKW183" s="21"/>
      <c r="PKX183" s="21"/>
      <c r="PKY183" s="21"/>
      <c r="PKZ183" s="21"/>
      <c r="PLA183" s="21"/>
      <c r="PLB183" s="21"/>
      <c r="PLC183" s="21"/>
      <c r="PLD183" s="21"/>
      <c r="PLE183" s="21"/>
      <c r="PLF183" s="21"/>
      <c r="PLG183" s="21"/>
      <c r="PLH183" s="21"/>
      <c r="PLI183" s="21"/>
      <c r="PLJ183" s="21"/>
      <c r="PLK183" s="21"/>
      <c r="PLL183" s="21"/>
      <c r="PLM183" s="21"/>
      <c r="PLN183" s="21"/>
      <c r="PLO183" s="21"/>
      <c r="PLP183" s="21"/>
      <c r="PLQ183" s="21"/>
      <c r="PLR183" s="21"/>
      <c r="PLS183" s="21"/>
      <c r="PLT183" s="21"/>
      <c r="PLU183" s="21"/>
      <c r="PLV183" s="21"/>
      <c r="PLW183" s="21"/>
      <c r="PLX183" s="21"/>
      <c r="PLY183" s="21"/>
      <c r="PLZ183" s="21"/>
      <c r="PMA183" s="21"/>
      <c r="PMB183" s="21"/>
      <c r="PMC183" s="21"/>
      <c r="PMD183" s="21"/>
      <c r="PME183" s="21"/>
      <c r="PMF183" s="21"/>
      <c r="PMG183" s="21"/>
      <c r="PMH183" s="21"/>
      <c r="PMI183" s="21"/>
      <c r="PMJ183" s="21"/>
      <c r="PMK183" s="21"/>
      <c r="PML183" s="21"/>
      <c r="PMM183" s="21"/>
      <c r="PMN183" s="21"/>
      <c r="PMO183" s="21"/>
      <c r="PMP183" s="21"/>
      <c r="PMQ183" s="21"/>
      <c r="PMR183" s="21"/>
      <c r="PMS183" s="21"/>
      <c r="PMT183" s="21"/>
      <c r="PMU183" s="21"/>
      <c r="PMV183" s="21"/>
      <c r="PMW183" s="21"/>
      <c r="PMX183" s="21"/>
      <c r="PMY183" s="21"/>
      <c r="PMZ183" s="21"/>
      <c r="PNA183" s="21"/>
      <c r="PNB183" s="21"/>
      <c r="PNC183" s="21"/>
      <c r="PND183" s="21"/>
      <c r="PNE183" s="21"/>
      <c r="PNF183" s="21"/>
      <c r="PNG183" s="21"/>
      <c r="PNH183" s="21"/>
      <c r="PNI183" s="21"/>
      <c r="PNJ183" s="21"/>
      <c r="PNK183" s="21"/>
      <c r="PNL183" s="21"/>
      <c r="PNM183" s="21"/>
      <c r="PNN183" s="21"/>
      <c r="PNO183" s="21"/>
      <c r="PNP183" s="21"/>
      <c r="PNQ183" s="21"/>
      <c r="PNR183" s="21"/>
      <c r="PNS183" s="21"/>
      <c r="PNT183" s="21"/>
      <c r="PNU183" s="21"/>
      <c r="PNV183" s="21"/>
      <c r="PNW183" s="21"/>
      <c r="PNX183" s="21"/>
      <c r="PNY183" s="21"/>
      <c r="PNZ183" s="21"/>
      <c r="POA183" s="21"/>
      <c r="POB183" s="21"/>
      <c r="POC183" s="21"/>
      <c r="POD183" s="21"/>
      <c r="POE183" s="21"/>
      <c r="POF183" s="21"/>
      <c r="POG183" s="21"/>
      <c r="POH183" s="21"/>
      <c r="POI183" s="21"/>
      <c r="POJ183" s="21"/>
      <c r="POK183" s="21"/>
      <c r="POL183" s="21"/>
      <c r="POM183" s="21"/>
      <c r="PON183" s="21"/>
      <c r="POO183" s="21"/>
      <c r="POP183" s="21"/>
      <c r="POQ183" s="21"/>
      <c r="POR183" s="21"/>
      <c r="POS183" s="21"/>
      <c r="POT183" s="21"/>
      <c r="POU183" s="21"/>
      <c r="POV183" s="21"/>
      <c r="POW183" s="21"/>
      <c r="POX183" s="21"/>
      <c r="POY183" s="21"/>
      <c r="POZ183" s="21"/>
      <c r="PPA183" s="21"/>
      <c r="PPB183" s="21"/>
      <c r="PPC183" s="21"/>
      <c r="PPD183" s="21"/>
      <c r="PPE183" s="21"/>
      <c r="PPF183" s="21"/>
      <c r="PPG183" s="21"/>
      <c r="PPH183" s="21"/>
      <c r="PPI183" s="21"/>
      <c r="PPJ183" s="21"/>
      <c r="PPK183" s="21"/>
      <c r="PPL183" s="21"/>
      <c r="PPM183" s="21"/>
      <c r="PPN183" s="21"/>
      <c r="PPO183" s="21"/>
      <c r="PPP183" s="21"/>
      <c r="PPQ183" s="21"/>
      <c r="PPR183" s="21"/>
      <c r="PPS183" s="21"/>
      <c r="PPT183" s="21"/>
      <c r="PPU183" s="21"/>
      <c r="PPV183" s="21"/>
      <c r="PPW183" s="21"/>
      <c r="PPX183" s="21"/>
      <c r="PPY183" s="21"/>
      <c r="PPZ183" s="21"/>
      <c r="PQA183" s="21"/>
      <c r="PQB183" s="21"/>
      <c r="PQC183" s="21"/>
      <c r="PQD183" s="21"/>
      <c r="PQE183" s="21"/>
      <c r="PQF183" s="21"/>
      <c r="PQG183" s="21"/>
      <c r="PQH183" s="21"/>
      <c r="PQI183" s="21"/>
      <c r="PQJ183" s="21"/>
      <c r="PQK183" s="21"/>
      <c r="PQL183" s="21"/>
      <c r="PQM183" s="21"/>
      <c r="PQN183" s="21"/>
      <c r="PQO183" s="21"/>
      <c r="PQP183" s="21"/>
      <c r="PQQ183" s="21"/>
      <c r="PQR183" s="21"/>
      <c r="PQS183" s="21"/>
      <c r="PQT183" s="21"/>
      <c r="PQU183" s="21"/>
      <c r="PQV183" s="21"/>
      <c r="PQW183" s="21"/>
      <c r="PQX183" s="21"/>
      <c r="PQY183" s="21"/>
      <c r="PQZ183" s="21"/>
      <c r="PRA183" s="21"/>
      <c r="PRB183" s="21"/>
      <c r="PRC183" s="21"/>
      <c r="PRD183" s="21"/>
      <c r="PRE183" s="21"/>
      <c r="PRF183" s="21"/>
      <c r="PRG183" s="21"/>
      <c r="PRH183" s="21"/>
      <c r="PRI183" s="21"/>
      <c r="PRJ183" s="21"/>
      <c r="PRK183" s="21"/>
      <c r="PRL183" s="21"/>
      <c r="PRM183" s="21"/>
      <c r="PRN183" s="21"/>
      <c r="PRO183" s="21"/>
      <c r="PRP183" s="21"/>
      <c r="PRQ183" s="21"/>
      <c r="PRR183" s="21"/>
      <c r="PRS183" s="21"/>
      <c r="PRT183" s="21"/>
      <c r="PRU183" s="21"/>
      <c r="PRV183" s="21"/>
      <c r="PRW183" s="21"/>
      <c r="PRX183" s="21"/>
      <c r="PRY183" s="21"/>
      <c r="PRZ183" s="21"/>
      <c r="PSA183" s="21"/>
      <c r="PSB183" s="21"/>
      <c r="PSC183" s="21"/>
      <c r="PSD183" s="21"/>
      <c r="PSE183" s="21"/>
      <c r="PSF183" s="21"/>
      <c r="PSG183" s="21"/>
      <c r="PSH183" s="21"/>
      <c r="PSI183" s="21"/>
      <c r="PSJ183" s="21"/>
      <c r="PSK183" s="21"/>
      <c r="PSL183" s="21"/>
      <c r="PSM183" s="21"/>
      <c r="PSN183" s="21"/>
      <c r="PSO183" s="21"/>
      <c r="PSP183" s="21"/>
      <c r="PSQ183" s="21"/>
      <c r="PSR183" s="21"/>
      <c r="PSS183" s="21"/>
      <c r="PST183" s="21"/>
      <c r="PSU183" s="21"/>
      <c r="PSV183" s="21"/>
      <c r="PSW183" s="21"/>
      <c r="PSX183" s="21"/>
      <c r="PSY183" s="21"/>
      <c r="PSZ183" s="21"/>
      <c r="PTA183" s="21"/>
      <c r="PTB183" s="21"/>
      <c r="PTC183" s="21"/>
      <c r="PTD183" s="21"/>
      <c r="PTE183" s="21"/>
      <c r="PTF183" s="21"/>
      <c r="PTG183" s="21"/>
      <c r="PTH183" s="21"/>
      <c r="PTI183" s="21"/>
      <c r="PTJ183" s="21"/>
      <c r="PTK183" s="21"/>
      <c r="PTL183" s="21"/>
      <c r="PTM183" s="21"/>
      <c r="PTN183" s="21"/>
      <c r="PTO183" s="21"/>
      <c r="PTP183" s="21"/>
      <c r="PTQ183" s="21"/>
      <c r="PTR183" s="21"/>
      <c r="PTS183" s="21"/>
      <c r="PTT183" s="21"/>
      <c r="PTU183" s="21"/>
      <c r="PTV183" s="21"/>
      <c r="PTW183" s="21"/>
      <c r="PTX183" s="21"/>
      <c r="PTY183" s="21"/>
      <c r="PTZ183" s="21"/>
      <c r="PUA183" s="21"/>
      <c r="PUB183" s="21"/>
      <c r="PUC183" s="21"/>
      <c r="PUD183" s="21"/>
      <c r="PUE183" s="21"/>
      <c r="PUF183" s="21"/>
      <c r="PUG183" s="21"/>
      <c r="PUH183" s="21"/>
      <c r="PUI183" s="21"/>
      <c r="PUJ183" s="21"/>
      <c r="PUK183" s="21"/>
      <c r="PUL183" s="21"/>
      <c r="PUM183" s="21"/>
      <c r="PUN183" s="21"/>
      <c r="PUO183" s="21"/>
      <c r="PUP183" s="21"/>
      <c r="PUQ183" s="21"/>
      <c r="PUR183" s="21"/>
      <c r="PUS183" s="21"/>
      <c r="PUT183" s="21"/>
      <c r="PUU183" s="21"/>
      <c r="PUV183" s="21"/>
      <c r="PUW183" s="21"/>
      <c r="PUX183" s="21"/>
      <c r="PUY183" s="21"/>
      <c r="PUZ183" s="21"/>
      <c r="PVA183" s="21"/>
      <c r="PVB183" s="21"/>
      <c r="PVC183" s="21"/>
      <c r="PVD183" s="21"/>
      <c r="PVE183" s="21"/>
      <c r="PVF183" s="21"/>
      <c r="PVG183" s="21"/>
      <c r="PVH183" s="21"/>
      <c r="PVI183" s="21"/>
      <c r="PVJ183" s="21"/>
      <c r="PVK183" s="21"/>
      <c r="PVL183" s="21"/>
      <c r="PVM183" s="21"/>
      <c r="PVN183" s="21"/>
      <c r="PVO183" s="21"/>
      <c r="PVP183" s="21"/>
      <c r="PVQ183" s="21"/>
      <c r="PVR183" s="21"/>
      <c r="PVS183" s="21"/>
      <c r="PVT183" s="21"/>
      <c r="PVU183" s="21"/>
      <c r="PVV183" s="21"/>
      <c r="PVW183" s="21"/>
      <c r="PVX183" s="21"/>
      <c r="PVY183" s="21"/>
      <c r="PVZ183" s="21"/>
      <c r="PWA183" s="21"/>
      <c r="PWB183" s="21"/>
      <c r="PWC183" s="21"/>
      <c r="PWD183" s="21"/>
      <c r="PWE183" s="21"/>
      <c r="PWF183" s="21"/>
      <c r="PWG183" s="21"/>
      <c r="PWH183" s="21"/>
      <c r="PWI183" s="21"/>
      <c r="PWJ183" s="21"/>
      <c r="PWK183" s="21"/>
      <c r="PWL183" s="21"/>
      <c r="PWM183" s="21"/>
      <c r="PWN183" s="21"/>
      <c r="PWO183" s="21"/>
      <c r="PWP183" s="21"/>
      <c r="PWQ183" s="21"/>
      <c r="PWR183" s="21"/>
      <c r="PWS183" s="21"/>
      <c r="PWT183" s="21"/>
      <c r="PWU183" s="21"/>
      <c r="PWV183" s="21"/>
      <c r="PWW183" s="21"/>
      <c r="PWX183" s="21"/>
      <c r="PWY183" s="21"/>
      <c r="PWZ183" s="21"/>
      <c r="PXA183" s="21"/>
      <c r="PXB183" s="21"/>
      <c r="PXC183" s="21"/>
      <c r="PXD183" s="21"/>
      <c r="PXE183" s="21"/>
      <c r="PXF183" s="21"/>
      <c r="PXG183" s="21"/>
      <c r="PXH183" s="21"/>
      <c r="PXI183" s="21"/>
      <c r="PXJ183" s="21"/>
      <c r="PXK183" s="21"/>
      <c r="PXL183" s="21"/>
      <c r="PXM183" s="21"/>
      <c r="PXN183" s="21"/>
      <c r="PXO183" s="21"/>
      <c r="PXP183" s="21"/>
      <c r="PXQ183" s="21"/>
      <c r="PXR183" s="21"/>
      <c r="PXS183" s="21"/>
      <c r="PXT183" s="21"/>
      <c r="PXU183" s="21"/>
      <c r="PXV183" s="21"/>
      <c r="PXW183" s="21"/>
      <c r="PXX183" s="21"/>
      <c r="PXY183" s="21"/>
      <c r="PXZ183" s="21"/>
      <c r="PYA183" s="21"/>
      <c r="PYB183" s="21"/>
      <c r="PYC183" s="21"/>
      <c r="PYD183" s="21"/>
      <c r="PYE183" s="21"/>
      <c r="PYF183" s="21"/>
      <c r="PYG183" s="21"/>
      <c r="PYH183" s="21"/>
      <c r="PYI183" s="21"/>
      <c r="PYJ183" s="21"/>
      <c r="PYK183" s="21"/>
      <c r="PYL183" s="21"/>
      <c r="PYM183" s="21"/>
      <c r="PYN183" s="21"/>
      <c r="PYO183" s="21"/>
      <c r="PYP183" s="21"/>
      <c r="PYQ183" s="21"/>
      <c r="PYR183" s="21"/>
      <c r="PYS183" s="21"/>
      <c r="PYT183" s="21"/>
      <c r="PYU183" s="21"/>
      <c r="PYV183" s="21"/>
      <c r="PYW183" s="21"/>
      <c r="PYX183" s="21"/>
      <c r="PYY183" s="21"/>
      <c r="PYZ183" s="21"/>
      <c r="PZA183" s="21"/>
      <c r="PZB183" s="21"/>
      <c r="PZC183" s="21"/>
      <c r="PZD183" s="21"/>
      <c r="PZE183" s="21"/>
      <c r="PZF183" s="21"/>
      <c r="PZG183" s="21"/>
      <c r="PZH183" s="21"/>
      <c r="PZI183" s="21"/>
      <c r="PZJ183" s="21"/>
      <c r="PZK183" s="21"/>
      <c r="PZL183" s="21"/>
      <c r="PZM183" s="21"/>
      <c r="PZN183" s="21"/>
      <c r="PZO183" s="21"/>
      <c r="PZP183" s="21"/>
      <c r="PZQ183" s="21"/>
      <c r="PZR183" s="21"/>
      <c r="PZS183" s="21"/>
      <c r="PZT183" s="21"/>
      <c r="PZU183" s="21"/>
      <c r="PZV183" s="21"/>
      <c r="PZW183" s="21"/>
      <c r="PZX183" s="21"/>
      <c r="PZY183" s="21"/>
      <c r="PZZ183" s="21"/>
      <c r="QAA183" s="21"/>
      <c r="QAB183" s="21"/>
      <c r="QAC183" s="21"/>
      <c r="QAD183" s="21"/>
      <c r="QAE183" s="21"/>
      <c r="QAF183" s="21"/>
      <c r="QAG183" s="21"/>
      <c r="QAH183" s="21"/>
      <c r="QAI183" s="21"/>
      <c r="QAJ183" s="21"/>
      <c r="QAK183" s="21"/>
      <c r="QAL183" s="21"/>
      <c r="QAM183" s="21"/>
      <c r="QAN183" s="21"/>
      <c r="QAO183" s="21"/>
      <c r="QAP183" s="21"/>
      <c r="QAQ183" s="21"/>
      <c r="QAR183" s="21"/>
      <c r="QAS183" s="21"/>
      <c r="QAT183" s="21"/>
      <c r="QAU183" s="21"/>
      <c r="QAV183" s="21"/>
      <c r="QAW183" s="21"/>
      <c r="QAX183" s="21"/>
      <c r="QAY183" s="21"/>
      <c r="QAZ183" s="21"/>
      <c r="QBA183" s="21"/>
      <c r="QBB183" s="21"/>
      <c r="QBC183" s="21"/>
      <c r="QBD183" s="21"/>
      <c r="QBE183" s="21"/>
      <c r="QBF183" s="21"/>
      <c r="QBG183" s="21"/>
      <c r="QBH183" s="21"/>
      <c r="QBI183" s="21"/>
      <c r="QBJ183" s="21"/>
      <c r="QBK183" s="21"/>
      <c r="QBL183" s="21"/>
      <c r="QBM183" s="21"/>
      <c r="QBN183" s="21"/>
      <c r="QBO183" s="21"/>
      <c r="QBP183" s="21"/>
      <c r="QBQ183" s="21"/>
      <c r="QBR183" s="21"/>
      <c r="QBS183" s="21"/>
      <c r="QBT183" s="21"/>
      <c r="QBU183" s="21"/>
      <c r="QBV183" s="21"/>
      <c r="QBW183" s="21"/>
      <c r="QBX183" s="21"/>
      <c r="QBY183" s="21"/>
      <c r="QBZ183" s="21"/>
      <c r="QCA183" s="21"/>
      <c r="QCB183" s="21"/>
      <c r="QCC183" s="21"/>
      <c r="QCD183" s="21"/>
      <c r="QCE183" s="21"/>
      <c r="QCF183" s="21"/>
      <c r="QCG183" s="21"/>
      <c r="QCH183" s="21"/>
      <c r="QCI183" s="21"/>
      <c r="QCJ183" s="21"/>
      <c r="QCK183" s="21"/>
      <c r="QCL183" s="21"/>
      <c r="QCM183" s="21"/>
      <c r="QCN183" s="21"/>
      <c r="QCO183" s="21"/>
      <c r="QCP183" s="21"/>
      <c r="QCQ183" s="21"/>
      <c r="QCR183" s="21"/>
      <c r="QCS183" s="21"/>
      <c r="QCT183" s="21"/>
      <c r="QCU183" s="21"/>
      <c r="QCV183" s="21"/>
      <c r="QCW183" s="21"/>
      <c r="QCX183" s="21"/>
      <c r="QCY183" s="21"/>
      <c r="QCZ183" s="21"/>
      <c r="QDA183" s="21"/>
      <c r="QDB183" s="21"/>
      <c r="QDC183" s="21"/>
      <c r="QDD183" s="21"/>
      <c r="QDE183" s="21"/>
      <c r="QDF183" s="21"/>
      <c r="QDG183" s="21"/>
      <c r="QDH183" s="21"/>
      <c r="QDI183" s="21"/>
      <c r="QDJ183" s="21"/>
      <c r="QDK183" s="21"/>
      <c r="QDL183" s="21"/>
      <c r="QDM183" s="21"/>
      <c r="QDN183" s="21"/>
      <c r="QDO183" s="21"/>
      <c r="QDP183" s="21"/>
      <c r="QDQ183" s="21"/>
      <c r="QDR183" s="21"/>
      <c r="QDS183" s="21"/>
      <c r="QDT183" s="21"/>
      <c r="QDU183" s="21"/>
      <c r="QDV183" s="21"/>
      <c r="QDW183" s="21"/>
      <c r="QDX183" s="21"/>
      <c r="QDY183" s="21"/>
      <c r="QDZ183" s="21"/>
      <c r="QEA183" s="21"/>
      <c r="QEB183" s="21"/>
      <c r="QEC183" s="21"/>
      <c r="QED183" s="21"/>
      <c r="QEE183" s="21"/>
      <c r="QEF183" s="21"/>
      <c r="QEG183" s="21"/>
      <c r="QEH183" s="21"/>
      <c r="QEI183" s="21"/>
      <c r="QEJ183" s="21"/>
      <c r="QEK183" s="21"/>
      <c r="QEL183" s="21"/>
      <c r="QEM183" s="21"/>
      <c r="QEN183" s="21"/>
      <c r="QEO183" s="21"/>
      <c r="QEP183" s="21"/>
      <c r="QEQ183" s="21"/>
      <c r="QER183" s="21"/>
      <c r="QES183" s="21"/>
      <c r="QET183" s="21"/>
      <c r="QEU183" s="21"/>
      <c r="QEV183" s="21"/>
      <c r="QEW183" s="21"/>
      <c r="QEX183" s="21"/>
      <c r="QEY183" s="21"/>
      <c r="QEZ183" s="21"/>
      <c r="QFA183" s="21"/>
      <c r="QFB183" s="21"/>
      <c r="QFC183" s="21"/>
      <c r="QFD183" s="21"/>
      <c r="QFE183" s="21"/>
      <c r="QFF183" s="21"/>
      <c r="QFG183" s="21"/>
      <c r="QFH183" s="21"/>
      <c r="QFI183" s="21"/>
      <c r="QFJ183" s="21"/>
      <c r="QFK183" s="21"/>
      <c r="QFL183" s="21"/>
      <c r="QFM183" s="21"/>
      <c r="QFN183" s="21"/>
      <c r="QFO183" s="21"/>
      <c r="QFP183" s="21"/>
      <c r="QFQ183" s="21"/>
      <c r="QFR183" s="21"/>
      <c r="QFS183" s="21"/>
      <c r="QFT183" s="21"/>
      <c r="QFU183" s="21"/>
      <c r="QFV183" s="21"/>
      <c r="QFW183" s="21"/>
      <c r="QFX183" s="21"/>
      <c r="QFY183" s="21"/>
      <c r="QFZ183" s="21"/>
      <c r="QGA183" s="21"/>
      <c r="QGB183" s="21"/>
      <c r="QGC183" s="21"/>
      <c r="QGD183" s="21"/>
      <c r="QGE183" s="21"/>
      <c r="QGF183" s="21"/>
      <c r="QGG183" s="21"/>
      <c r="QGH183" s="21"/>
      <c r="QGI183" s="21"/>
      <c r="QGJ183" s="21"/>
      <c r="QGK183" s="21"/>
      <c r="QGL183" s="21"/>
      <c r="QGM183" s="21"/>
      <c r="QGN183" s="21"/>
      <c r="QGO183" s="21"/>
      <c r="QGP183" s="21"/>
      <c r="QGQ183" s="21"/>
      <c r="QGR183" s="21"/>
      <c r="QGS183" s="21"/>
      <c r="QGT183" s="21"/>
      <c r="QGU183" s="21"/>
      <c r="QGV183" s="21"/>
      <c r="QGW183" s="21"/>
      <c r="QGX183" s="21"/>
      <c r="QGY183" s="21"/>
      <c r="QGZ183" s="21"/>
      <c r="QHA183" s="21"/>
      <c r="QHB183" s="21"/>
      <c r="QHC183" s="21"/>
      <c r="QHD183" s="21"/>
      <c r="QHE183" s="21"/>
      <c r="QHF183" s="21"/>
      <c r="QHG183" s="21"/>
      <c r="QHH183" s="21"/>
      <c r="QHI183" s="21"/>
      <c r="QHJ183" s="21"/>
      <c r="QHK183" s="21"/>
      <c r="QHL183" s="21"/>
      <c r="QHM183" s="21"/>
      <c r="QHN183" s="21"/>
      <c r="QHO183" s="21"/>
      <c r="QHP183" s="21"/>
      <c r="QHQ183" s="21"/>
      <c r="QHR183" s="21"/>
      <c r="QHS183" s="21"/>
      <c r="QHT183" s="21"/>
      <c r="QHU183" s="21"/>
      <c r="QHV183" s="21"/>
      <c r="QHW183" s="21"/>
      <c r="QHX183" s="21"/>
      <c r="QHY183" s="21"/>
      <c r="QHZ183" s="21"/>
      <c r="QIA183" s="21"/>
      <c r="QIB183" s="21"/>
      <c r="QIC183" s="21"/>
      <c r="QID183" s="21"/>
      <c r="QIE183" s="21"/>
      <c r="QIF183" s="21"/>
      <c r="QIG183" s="21"/>
      <c r="QIH183" s="21"/>
      <c r="QII183" s="21"/>
      <c r="QIJ183" s="21"/>
      <c r="QIK183" s="21"/>
      <c r="QIL183" s="21"/>
      <c r="QIM183" s="21"/>
      <c r="QIN183" s="21"/>
      <c r="QIO183" s="21"/>
      <c r="QIP183" s="21"/>
      <c r="QIQ183" s="21"/>
      <c r="QIR183" s="21"/>
      <c r="QIS183" s="21"/>
      <c r="QIT183" s="21"/>
      <c r="QIU183" s="21"/>
      <c r="QIV183" s="21"/>
      <c r="QIW183" s="21"/>
      <c r="QIX183" s="21"/>
      <c r="QIY183" s="21"/>
      <c r="QIZ183" s="21"/>
      <c r="QJA183" s="21"/>
      <c r="QJB183" s="21"/>
      <c r="QJC183" s="21"/>
      <c r="QJD183" s="21"/>
      <c r="QJE183" s="21"/>
      <c r="QJF183" s="21"/>
      <c r="QJG183" s="21"/>
      <c r="QJH183" s="21"/>
      <c r="QJI183" s="21"/>
      <c r="QJJ183" s="21"/>
      <c r="QJK183" s="21"/>
      <c r="QJL183" s="21"/>
      <c r="QJM183" s="21"/>
      <c r="QJN183" s="21"/>
      <c r="QJO183" s="21"/>
      <c r="QJP183" s="21"/>
      <c r="QJQ183" s="21"/>
      <c r="QJR183" s="21"/>
      <c r="QJS183" s="21"/>
      <c r="QJT183" s="21"/>
      <c r="QJU183" s="21"/>
      <c r="QJV183" s="21"/>
      <c r="QJW183" s="21"/>
      <c r="QJX183" s="21"/>
      <c r="QJY183" s="21"/>
      <c r="QJZ183" s="21"/>
      <c r="QKA183" s="21"/>
      <c r="QKB183" s="21"/>
      <c r="QKC183" s="21"/>
      <c r="QKD183" s="21"/>
      <c r="QKE183" s="21"/>
      <c r="QKF183" s="21"/>
      <c r="QKG183" s="21"/>
      <c r="QKH183" s="21"/>
      <c r="QKI183" s="21"/>
      <c r="QKJ183" s="21"/>
      <c r="QKK183" s="21"/>
      <c r="QKL183" s="21"/>
      <c r="QKM183" s="21"/>
      <c r="QKN183" s="21"/>
      <c r="QKO183" s="21"/>
      <c r="QKP183" s="21"/>
      <c r="QKQ183" s="21"/>
      <c r="QKR183" s="21"/>
      <c r="QKS183" s="21"/>
      <c r="QKT183" s="21"/>
      <c r="QKU183" s="21"/>
      <c r="QKV183" s="21"/>
      <c r="QKW183" s="21"/>
      <c r="QKX183" s="21"/>
      <c r="QKY183" s="21"/>
      <c r="QKZ183" s="21"/>
      <c r="QLA183" s="21"/>
      <c r="QLB183" s="21"/>
      <c r="QLC183" s="21"/>
      <c r="QLD183" s="21"/>
      <c r="QLE183" s="21"/>
      <c r="QLF183" s="21"/>
      <c r="QLG183" s="21"/>
      <c r="QLH183" s="21"/>
      <c r="QLI183" s="21"/>
      <c r="QLJ183" s="21"/>
      <c r="QLK183" s="21"/>
      <c r="QLL183" s="21"/>
      <c r="QLM183" s="21"/>
      <c r="QLN183" s="21"/>
      <c r="QLO183" s="21"/>
      <c r="QLP183" s="21"/>
      <c r="QLQ183" s="21"/>
      <c r="QLR183" s="21"/>
      <c r="QLS183" s="21"/>
      <c r="QLT183" s="21"/>
      <c r="QLU183" s="21"/>
      <c r="QLV183" s="21"/>
      <c r="QLW183" s="21"/>
      <c r="QLX183" s="21"/>
      <c r="QLY183" s="21"/>
      <c r="QLZ183" s="21"/>
      <c r="QMA183" s="21"/>
      <c r="QMB183" s="21"/>
      <c r="QMC183" s="21"/>
      <c r="QMD183" s="21"/>
      <c r="QME183" s="21"/>
      <c r="QMF183" s="21"/>
      <c r="QMG183" s="21"/>
      <c r="QMH183" s="21"/>
      <c r="QMI183" s="21"/>
      <c r="QMJ183" s="21"/>
      <c r="QMK183" s="21"/>
      <c r="QML183" s="21"/>
      <c r="QMM183" s="21"/>
      <c r="QMN183" s="21"/>
      <c r="QMO183" s="21"/>
      <c r="QMP183" s="21"/>
      <c r="QMQ183" s="21"/>
      <c r="QMR183" s="21"/>
      <c r="QMS183" s="21"/>
      <c r="QMT183" s="21"/>
      <c r="QMU183" s="21"/>
      <c r="QMV183" s="21"/>
      <c r="QMW183" s="21"/>
      <c r="QMX183" s="21"/>
      <c r="QMY183" s="21"/>
      <c r="QMZ183" s="21"/>
      <c r="QNA183" s="21"/>
      <c r="QNB183" s="21"/>
      <c r="QNC183" s="21"/>
      <c r="QND183" s="21"/>
      <c r="QNE183" s="21"/>
      <c r="QNF183" s="21"/>
      <c r="QNG183" s="21"/>
      <c r="QNH183" s="21"/>
      <c r="QNI183" s="21"/>
      <c r="QNJ183" s="21"/>
      <c r="QNK183" s="21"/>
      <c r="QNL183" s="21"/>
      <c r="QNM183" s="21"/>
      <c r="QNN183" s="21"/>
      <c r="QNO183" s="21"/>
      <c r="QNP183" s="21"/>
      <c r="QNQ183" s="21"/>
      <c r="QNR183" s="21"/>
      <c r="QNS183" s="21"/>
      <c r="QNT183" s="21"/>
      <c r="QNU183" s="21"/>
      <c r="QNV183" s="21"/>
      <c r="QNW183" s="21"/>
      <c r="QNX183" s="21"/>
      <c r="QNY183" s="21"/>
      <c r="QNZ183" s="21"/>
      <c r="QOA183" s="21"/>
      <c r="QOB183" s="21"/>
      <c r="QOC183" s="21"/>
      <c r="QOD183" s="21"/>
      <c r="QOE183" s="21"/>
      <c r="QOF183" s="21"/>
      <c r="QOG183" s="21"/>
      <c r="QOH183" s="21"/>
      <c r="QOI183" s="21"/>
      <c r="QOJ183" s="21"/>
      <c r="QOK183" s="21"/>
      <c r="QOL183" s="21"/>
      <c r="QOM183" s="21"/>
      <c r="QON183" s="21"/>
      <c r="QOO183" s="21"/>
      <c r="QOP183" s="21"/>
      <c r="QOQ183" s="21"/>
      <c r="QOR183" s="21"/>
      <c r="QOS183" s="21"/>
      <c r="QOT183" s="21"/>
      <c r="QOU183" s="21"/>
      <c r="QOV183" s="21"/>
      <c r="QOW183" s="21"/>
      <c r="QOX183" s="21"/>
      <c r="QOY183" s="21"/>
      <c r="QOZ183" s="21"/>
      <c r="QPA183" s="21"/>
      <c r="QPB183" s="21"/>
      <c r="QPC183" s="21"/>
      <c r="QPD183" s="21"/>
      <c r="QPE183" s="21"/>
      <c r="QPF183" s="21"/>
      <c r="QPG183" s="21"/>
      <c r="QPH183" s="21"/>
      <c r="QPI183" s="21"/>
      <c r="QPJ183" s="21"/>
      <c r="QPK183" s="21"/>
      <c r="QPL183" s="21"/>
      <c r="QPM183" s="21"/>
      <c r="QPN183" s="21"/>
      <c r="QPO183" s="21"/>
      <c r="QPP183" s="21"/>
      <c r="QPQ183" s="21"/>
      <c r="QPR183" s="21"/>
      <c r="QPS183" s="21"/>
      <c r="QPT183" s="21"/>
      <c r="QPU183" s="21"/>
      <c r="QPV183" s="21"/>
      <c r="QPW183" s="21"/>
      <c r="QPX183" s="21"/>
      <c r="QPY183" s="21"/>
      <c r="QPZ183" s="21"/>
      <c r="QQA183" s="21"/>
      <c r="QQB183" s="21"/>
      <c r="QQC183" s="21"/>
      <c r="QQD183" s="21"/>
      <c r="QQE183" s="21"/>
      <c r="QQF183" s="21"/>
      <c r="QQG183" s="21"/>
      <c r="QQH183" s="21"/>
      <c r="QQI183" s="21"/>
      <c r="QQJ183" s="21"/>
      <c r="QQK183" s="21"/>
      <c r="QQL183" s="21"/>
      <c r="QQM183" s="21"/>
      <c r="QQN183" s="21"/>
      <c r="QQO183" s="21"/>
      <c r="QQP183" s="21"/>
      <c r="QQQ183" s="21"/>
      <c r="QQR183" s="21"/>
      <c r="QQS183" s="21"/>
      <c r="QQT183" s="21"/>
      <c r="QQU183" s="21"/>
      <c r="QQV183" s="21"/>
      <c r="QQW183" s="21"/>
      <c r="QQX183" s="21"/>
      <c r="QQY183" s="21"/>
      <c r="QQZ183" s="21"/>
      <c r="QRA183" s="21"/>
      <c r="QRB183" s="21"/>
      <c r="QRC183" s="21"/>
      <c r="QRD183" s="21"/>
      <c r="QRE183" s="21"/>
      <c r="QRF183" s="21"/>
      <c r="QRG183" s="21"/>
      <c r="QRH183" s="21"/>
      <c r="QRI183" s="21"/>
      <c r="QRJ183" s="21"/>
      <c r="QRK183" s="21"/>
      <c r="QRL183" s="21"/>
      <c r="QRM183" s="21"/>
      <c r="QRN183" s="21"/>
      <c r="QRO183" s="21"/>
      <c r="QRP183" s="21"/>
      <c r="QRQ183" s="21"/>
      <c r="QRR183" s="21"/>
      <c r="QRS183" s="21"/>
      <c r="QRT183" s="21"/>
      <c r="QRU183" s="21"/>
      <c r="QRV183" s="21"/>
      <c r="QRW183" s="21"/>
      <c r="QRX183" s="21"/>
      <c r="QRY183" s="21"/>
      <c r="QRZ183" s="21"/>
      <c r="QSA183" s="21"/>
      <c r="QSB183" s="21"/>
      <c r="QSC183" s="21"/>
      <c r="QSD183" s="21"/>
      <c r="QSE183" s="21"/>
      <c r="QSF183" s="21"/>
      <c r="QSG183" s="21"/>
      <c r="QSH183" s="21"/>
      <c r="QSI183" s="21"/>
      <c r="QSJ183" s="21"/>
      <c r="QSK183" s="21"/>
      <c r="QSL183" s="21"/>
      <c r="QSM183" s="21"/>
      <c r="QSN183" s="21"/>
      <c r="QSO183" s="21"/>
      <c r="QSP183" s="21"/>
      <c r="QSQ183" s="21"/>
      <c r="QSR183" s="21"/>
      <c r="QSS183" s="21"/>
      <c r="QST183" s="21"/>
      <c r="QSU183" s="21"/>
      <c r="QSV183" s="21"/>
      <c r="QSW183" s="21"/>
      <c r="QSX183" s="21"/>
      <c r="QSY183" s="21"/>
      <c r="QSZ183" s="21"/>
      <c r="QTA183" s="21"/>
      <c r="QTB183" s="21"/>
      <c r="QTC183" s="21"/>
      <c r="QTD183" s="21"/>
      <c r="QTE183" s="21"/>
      <c r="QTF183" s="21"/>
      <c r="QTG183" s="21"/>
      <c r="QTH183" s="21"/>
      <c r="QTI183" s="21"/>
      <c r="QTJ183" s="21"/>
      <c r="QTK183" s="21"/>
      <c r="QTL183" s="21"/>
      <c r="QTM183" s="21"/>
      <c r="QTN183" s="21"/>
      <c r="QTO183" s="21"/>
      <c r="QTP183" s="21"/>
      <c r="QTQ183" s="21"/>
      <c r="QTR183" s="21"/>
      <c r="QTS183" s="21"/>
      <c r="QTT183" s="21"/>
      <c r="QTU183" s="21"/>
      <c r="QTV183" s="21"/>
      <c r="QTW183" s="21"/>
      <c r="QTX183" s="21"/>
      <c r="QTY183" s="21"/>
      <c r="QTZ183" s="21"/>
      <c r="QUA183" s="21"/>
      <c r="QUB183" s="21"/>
      <c r="QUC183" s="21"/>
      <c r="QUD183" s="21"/>
      <c r="QUE183" s="21"/>
      <c r="QUF183" s="21"/>
      <c r="QUG183" s="21"/>
      <c r="QUH183" s="21"/>
      <c r="QUI183" s="21"/>
      <c r="QUJ183" s="21"/>
      <c r="QUK183" s="21"/>
      <c r="QUL183" s="21"/>
      <c r="QUM183" s="21"/>
      <c r="QUN183" s="21"/>
      <c r="QUO183" s="21"/>
      <c r="QUP183" s="21"/>
      <c r="QUQ183" s="21"/>
      <c r="QUR183" s="21"/>
      <c r="QUS183" s="21"/>
      <c r="QUT183" s="21"/>
      <c r="QUU183" s="21"/>
      <c r="QUV183" s="21"/>
      <c r="QUW183" s="21"/>
      <c r="QUX183" s="21"/>
      <c r="QUY183" s="21"/>
      <c r="QUZ183" s="21"/>
      <c r="QVA183" s="21"/>
      <c r="QVB183" s="21"/>
      <c r="QVC183" s="21"/>
      <c r="QVD183" s="21"/>
      <c r="QVE183" s="21"/>
      <c r="QVF183" s="21"/>
      <c r="QVG183" s="21"/>
      <c r="QVH183" s="21"/>
      <c r="QVI183" s="21"/>
      <c r="QVJ183" s="21"/>
      <c r="QVK183" s="21"/>
      <c r="QVL183" s="21"/>
      <c r="QVM183" s="21"/>
      <c r="QVN183" s="21"/>
      <c r="QVO183" s="21"/>
      <c r="QVP183" s="21"/>
      <c r="QVQ183" s="21"/>
      <c r="QVR183" s="21"/>
      <c r="QVS183" s="21"/>
      <c r="QVT183" s="21"/>
      <c r="QVU183" s="21"/>
      <c r="QVV183" s="21"/>
      <c r="QVW183" s="21"/>
      <c r="QVX183" s="21"/>
      <c r="QVY183" s="21"/>
      <c r="QVZ183" s="21"/>
      <c r="QWA183" s="21"/>
      <c r="QWB183" s="21"/>
      <c r="QWC183" s="21"/>
      <c r="QWD183" s="21"/>
      <c r="QWE183" s="21"/>
      <c r="QWF183" s="21"/>
      <c r="QWG183" s="21"/>
      <c r="QWH183" s="21"/>
      <c r="QWI183" s="21"/>
      <c r="QWJ183" s="21"/>
      <c r="QWK183" s="21"/>
      <c r="QWL183" s="21"/>
      <c r="QWM183" s="21"/>
      <c r="QWN183" s="21"/>
      <c r="QWO183" s="21"/>
      <c r="QWP183" s="21"/>
      <c r="QWQ183" s="21"/>
      <c r="QWR183" s="21"/>
      <c r="QWS183" s="21"/>
      <c r="QWT183" s="21"/>
      <c r="QWU183" s="21"/>
      <c r="QWV183" s="21"/>
      <c r="QWW183" s="21"/>
      <c r="QWX183" s="21"/>
      <c r="QWY183" s="21"/>
      <c r="QWZ183" s="21"/>
      <c r="QXA183" s="21"/>
      <c r="QXB183" s="21"/>
      <c r="QXC183" s="21"/>
      <c r="QXD183" s="21"/>
      <c r="QXE183" s="21"/>
      <c r="QXF183" s="21"/>
      <c r="QXG183" s="21"/>
      <c r="QXH183" s="21"/>
      <c r="QXI183" s="21"/>
      <c r="QXJ183" s="21"/>
      <c r="QXK183" s="21"/>
      <c r="QXL183" s="21"/>
      <c r="QXM183" s="21"/>
      <c r="QXN183" s="21"/>
      <c r="QXO183" s="21"/>
      <c r="QXP183" s="21"/>
      <c r="QXQ183" s="21"/>
      <c r="QXR183" s="21"/>
      <c r="QXS183" s="21"/>
      <c r="QXT183" s="21"/>
      <c r="QXU183" s="21"/>
      <c r="QXV183" s="21"/>
      <c r="QXW183" s="21"/>
      <c r="QXX183" s="21"/>
      <c r="QXY183" s="21"/>
      <c r="QXZ183" s="21"/>
      <c r="QYA183" s="21"/>
      <c r="QYB183" s="21"/>
      <c r="QYC183" s="21"/>
      <c r="QYD183" s="21"/>
      <c r="QYE183" s="21"/>
      <c r="QYF183" s="21"/>
      <c r="QYG183" s="21"/>
      <c r="QYH183" s="21"/>
      <c r="QYI183" s="21"/>
      <c r="QYJ183" s="21"/>
      <c r="QYK183" s="21"/>
      <c r="QYL183" s="21"/>
      <c r="QYM183" s="21"/>
      <c r="QYN183" s="21"/>
      <c r="QYO183" s="21"/>
      <c r="QYP183" s="21"/>
      <c r="QYQ183" s="21"/>
      <c r="QYR183" s="21"/>
      <c r="QYS183" s="21"/>
      <c r="QYT183" s="21"/>
      <c r="QYU183" s="21"/>
      <c r="QYV183" s="21"/>
      <c r="QYW183" s="21"/>
      <c r="QYX183" s="21"/>
      <c r="QYY183" s="21"/>
      <c r="QYZ183" s="21"/>
      <c r="QZA183" s="21"/>
      <c r="QZB183" s="21"/>
      <c r="QZC183" s="21"/>
      <c r="QZD183" s="21"/>
      <c r="QZE183" s="21"/>
      <c r="QZF183" s="21"/>
      <c r="QZG183" s="21"/>
      <c r="QZH183" s="21"/>
      <c r="QZI183" s="21"/>
      <c r="QZJ183" s="21"/>
      <c r="QZK183" s="21"/>
      <c r="QZL183" s="21"/>
      <c r="QZM183" s="21"/>
      <c r="QZN183" s="21"/>
      <c r="QZO183" s="21"/>
      <c r="QZP183" s="21"/>
      <c r="QZQ183" s="21"/>
      <c r="QZR183" s="21"/>
      <c r="QZS183" s="21"/>
      <c r="QZT183" s="21"/>
      <c r="QZU183" s="21"/>
      <c r="QZV183" s="21"/>
      <c r="QZW183" s="21"/>
      <c r="QZX183" s="21"/>
      <c r="QZY183" s="21"/>
      <c r="QZZ183" s="21"/>
      <c r="RAA183" s="21"/>
      <c r="RAB183" s="21"/>
      <c r="RAC183" s="21"/>
      <c r="RAD183" s="21"/>
      <c r="RAE183" s="21"/>
      <c r="RAF183" s="21"/>
      <c r="RAG183" s="21"/>
      <c r="RAH183" s="21"/>
      <c r="RAI183" s="21"/>
      <c r="RAJ183" s="21"/>
      <c r="RAK183" s="21"/>
      <c r="RAL183" s="21"/>
      <c r="RAM183" s="21"/>
      <c r="RAN183" s="21"/>
      <c r="RAO183" s="21"/>
      <c r="RAP183" s="21"/>
      <c r="RAQ183" s="21"/>
      <c r="RAR183" s="21"/>
      <c r="RAS183" s="21"/>
      <c r="RAT183" s="21"/>
      <c r="RAU183" s="21"/>
      <c r="RAV183" s="21"/>
      <c r="RAW183" s="21"/>
      <c r="RAX183" s="21"/>
      <c r="RAY183" s="21"/>
      <c r="RAZ183" s="21"/>
      <c r="RBA183" s="21"/>
      <c r="RBB183" s="21"/>
      <c r="RBC183" s="21"/>
      <c r="RBD183" s="21"/>
      <c r="RBE183" s="21"/>
      <c r="RBF183" s="21"/>
      <c r="RBG183" s="21"/>
      <c r="RBH183" s="21"/>
      <c r="RBI183" s="21"/>
      <c r="RBJ183" s="21"/>
      <c r="RBK183" s="21"/>
      <c r="RBL183" s="21"/>
      <c r="RBM183" s="21"/>
      <c r="RBN183" s="21"/>
      <c r="RBO183" s="21"/>
      <c r="RBP183" s="21"/>
      <c r="RBQ183" s="21"/>
      <c r="RBR183" s="21"/>
      <c r="RBS183" s="21"/>
      <c r="RBT183" s="21"/>
      <c r="RBU183" s="21"/>
      <c r="RBV183" s="21"/>
      <c r="RBW183" s="21"/>
      <c r="RBX183" s="21"/>
      <c r="RBY183" s="21"/>
      <c r="RBZ183" s="21"/>
      <c r="RCA183" s="21"/>
      <c r="RCB183" s="21"/>
      <c r="RCC183" s="21"/>
      <c r="RCD183" s="21"/>
      <c r="RCE183" s="21"/>
      <c r="RCF183" s="21"/>
      <c r="RCG183" s="21"/>
      <c r="RCH183" s="21"/>
      <c r="RCI183" s="21"/>
      <c r="RCJ183" s="21"/>
      <c r="RCK183" s="21"/>
      <c r="RCL183" s="21"/>
      <c r="RCM183" s="21"/>
      <c r="RCN183" s="21"/>
      <c r="RCO183" s="21"/>
      <c r="RCP183" s="21"/>
      <c r="RCQ183" s="21"/>
      <c r="RCR183" s="21"/>
      <c r="RCS183" s="21"/>
      <c r="RCT183" s="21"/>
      <c r="RCU183" s="21"/>
      <c r="RCV183" s="21"/>
      <c r="RCW183" s="21"/>
      <c r="RCX183" s="21"/>
      <c r="RCY183" s="21"/>
      <c r="RCZ183" s="21"/>
      <c r="RDA183" s="21"/>
      <c r="RDB183" s="21"/>
      <c r="RDC183" s="21"/>
      <c r="RDD183" s="21"/>
      <c r="RDE183" s="21"/>
      <c r="RDF183" s="21"/>
      <c r="RDG183" s="21"/>
      <c r="RDH183" s="21"/>
      <c r="RDI183" s="21"/>
      <c r="RDJ183" s="21"/>
      <c r="RDK183" s="21"/>
      <c r="RDL183" s="21"/>
      <c r="RDM183" s="21"/>
      <c r="RDN183" s="21"/>
      <c r="RDO183" s="21"/>
      <c r="RDP183" s="21"/>
      <c r="RDQ183" s="21"/>
      <c r="RDR183" s="21"/>
      <c r="RDS183" s="21"/>
      <c r="RDT183" s="21"/>
      <c r="RDU183" s="21"/>
      <c r="RDV183" s="21"/>
      <c r="RDW183" s="21"/>
      <c r="RDX183" s="21"/>
      <c r="RDY183" s="21"/>
      <c r="RDZ183" s="21"/>
      <c r="REA183" s="21"/>
      <c r="REB183" s="21"/>
      <c r="REC183" s="21"/>
      <c r="RED183" s="21"/>
      <c r="REE183" s="21"/>
      <c r="REF183" s="21"/>
      <c r="REG183" s="21"/>
      <c r="REH183" s="21"/>
      <c r="REI183" s="21"/>
      <c r="REJ183" s="21"/>
      <c r="REK183" s="21"/>
      <c r="REL183" s="21"/>
      <c r="REM183" s="21"/>
      <c r="REN183" s="21"/>
      <c r="REO183" s="21"/>
      <c r="REP183" s="21"/>
      <c r="REQ183" s="21"/>
      <c r="RER183" s="21"/>
      <c r="RES183" s="21"/>
      <c r="RET183" s="21"/>
      <c r="REU183" s="21"/>
      <c r="REV183" s="21"/>
      <c r="REW183" s="21"/>
      <c r="REX183" s="21"/>
      <c r="REY183" s="21"/>
      <c r="REZ183" s="21"/>
      <c r="RFA183" s="21"/>
      <c r="RFB183" s="21"/>
      <c r="RFC183" s="21"/>
      <c r="RFD183" s="21"/>
      <c r="RFE183" s="21"/>
      <c r="RFF183" s="21"/>
      <c r="RFG183" s="21"/>
      <c r="RFH183" s="21"/>
      <c r="RFI183" s="21"/>
      <c r="RFJ183" s="21"/>
      <c r="RFK183" s="21"/>
      <c r="RFL183" s="21"/>
      <c r="RFM183" s="21"/>
      <c r="RFN183" s="21"/>
      <c r="RFO183" s="21"/>
      <c r="RFP183" s="21"/>
      <c r="RFQ183" s="21"/>
      <c r="RFR183" s="21"/>
      <c r="RFS183" s="21"/>
      <c r="RFT183" s="21"/>
      <c r="RFU183" s="21"/>
      <c r="RFV183" s="21"/>
      <c r="RFW183" s="21"/>
      <c r="RFX183" s="21"/>
      <c r="RFY183" s="21"/>
      <c r="RFZ183" s="21"/>
      <c r="RGA183" s="21"/>
      <c r="RGB183" s="21"/>
      <c r="RGC183" s="21"/>
      <c r="RGD183" s="21"/>
      <c r="RGE183" s="21"/>
      <c r="RGF183" s="21"/>
      <c r="RGG183" s="21"/>
      <c r="RGH183" s="21"/>
      <c r="RGI183" s="21"/>
      <c r="RGJ183" s="21"/>
      <c r="RGK183" s="21"/>
      <c r="RGL183" s="21"/>
      <c r="RGM183" s="21"/>
      <c r="RGN183" s="21"/>
      <c r="RGO183" s="21"/>
      <c r="RGP183" s="21"/>
      <c r="RGQ183" s="21"/>
      <c r="RGR183" s="21"/>
      <c r="RGS183" s="21"/>
      <c r="RGT183" s="21"/>
      <c r="RGU183" s="21"/>
      <c r="RGV183" s="21"/>
      <c r="RGW183" s="21"/>
      <c r="RGX183" s="21"/>
      <c r="RGY183" s="21"/>
      <c r="RGZ183" s="21"/>
      <c r="RHA183" s="21"/>
      <c r="RHB183" s="21"/>
      <c r="RHC183" s="21"/>
      <c r="RHD183" s="21"/>
      <c r="RHE183" s="21"/>
      <c r="RHF183" s="21"/>
      <c r="RHG183" s="21"/>
      <c r="RHH183" s="21"/>
      <c r="RHI183" s="21"/>
      <c r="RHJ183" s="21"/>
      <c r="RHK183" s="21"/>
      <c r="RHL183" s="21"/>
      <c r="RHM183" s="21"/>
      <c r="RHN183" s="21"/>
      <c r="RHO183" s="21"/>
      <c r="RHP183" s="21"/>
      <c r="RHQ183" s="21"/>
      <c r="RHR183" s="21"/>
      <c r="RHS183" s="21"/>
      <c r="RHT183" s="21"/>
      <c r="RHU183" s="21"/>
      <c r="RHV183" s="21"/>
      <c r="RHW183" s="21"/>
      <c r="RHX183" s="21"/>
      <c r="RHY183" s="21"/>
      <c r="RHZ183" s="21"/>
      <c r="RIA183" s="21"/>
      <c r="RIB183" s="21"/>
      <c r="RIC183" s="21"/>
      <c r="RID183" s="21"/>
      <c r="RIE183" s="21"/>
      <c r="RIF183" s="21"/>
      <c r="RIG183" s="21"/>
      <c r="RIH183" s="21"/>
      <c r="RII183" s="21"/>
      <c r="RIJ183" s="21"/>
      <c r="RIK183" s="21"/>
      <c r="RIL183" s="21"/>
      <c r="RIM183" s="21"/>
      <c r="RIN183" s="21"/>
      <c r="RIO183" s="21"/>
      <c r="RIP183" s="21"/>
      <c r="RIQ183" s="21"/>
      <c r="RIR183" s="21"/>
      <c r="RIS183" s="21"/>
      <c r="RIT183" s="21"/>
      <c r="RIU183" s="21"/>
      <c r="RIV183" s="21"/>
      <c r="RIW183" s="21"/>
      <c r="RIX183" s="21"/>
      <c r="RIY183" s="21"/>
      <c r="RIZ183" s="21"/>
      <c r="RJA183" s="21"/>
      <c r="RJB183" s="21"/>
      <c r="RJC183" s="21"/>
      <c r="RJD183" s="21"/>
      <c r="RJE183" s="21"/>
      <c r="RJF183" s="21"/>
      <c r="RJG183" s="21"/>
      <c r="RJH183" s="21"/>
      <c r="RJI183" s="21"/>
      <c r="RJJ183" s="21"/>
      <c r="RJK183" s="21"/>
      <c r="RJL183" s="21"/>
      <c r="RJM183" s="21"/>
      <c r="RJN183" s="21"/>
      <c r="RJO183" s="21"/>
      <c r="RJP183" s="21"/>
      <c r="RJQ183" s="21"/>
      <c r="RJR183" s="21"/>
      <c r="RJS183" s="21"/>
      <c r="RJT183" s="21"/>
      <c r="RJU183" s="21"/>
      <c r="RJV183" s="21"/>
      <c r="RJW183" s="21"/>
      <c r="RJX183" s="21"/>
      <c r="RJY183" s="21"/>
      <c r="RJZ183" s="21"/>
      <c r="RKA183" s="21"/>
      <c r="RKB183" s="21"/>
      <c r="RKC183" s="21"/>
      <c r="RKD183" s="21"/>
      <c r="RKE183" s="21"/>
      <c r="RKF183" s="21"/>
      <c r="RKG183" s="21"/>
      <c r="RKH183" s="21"/>
      <c r="RKI183" s="21"/>
      <c r="RKJ183" s="21"/>
      <c r="RKK183" s="21"/>
      <c r="RKL183" s="21"/>
      <c r="RKM183" s="21"/>
      <c r="RKN183" s="21"/>
      <c r="RKO183" s="21"/>
      <c r="RKP183" s="21"/>
      <c r="RKQ183" s="21"/>
      <c r="RKR183" s="21"/>
      <c r="RKS183" s="21"/>
      <c r="RKT183" s="21"/>
      <c r="RKU183" s="21"/>
      <c r="RKV183" s="21"/>
      <c r="RKW183" s="21"/>
      <c r="RKX183" s="21"/>
      <c r="RKY183" s="21"/>
      <c r="RKZ183" s="21"/>
      <c r="RLA183" s="21"/>
      <c r="RLB183" s="21"/>
      <c r="RLC183" s="21"/>
      <c r="RLD183" s="21"/>
      <c r="RLE183" s="21"/>
      <c r="RLF183" s="21"/>
      <c r="RLG183" s="21"/>
      <c r="RLH183" s="21"/>
      <c r="RLI183" s="21"/>
      <c r="RLJ183" s="21"/>
      <c r="RLK183" s="21"/>
      <c r="RLL183" s="21"/>
      <c r="RLM183" s="21"/>
      <c r="RLN183" s="21"/>
      <c r="RLO183" s="21"/>
      <c r="RLP183" s="21"/>
      <c r="RLQ183" s="21"/>
      <c r="RLR183" s="21"/>
      <c r="RLS183" s="21"/>
      <c r="RLT183" s="21"/>
      <c r="RLU183" s="21"/>
      <c r="RLV183" s="21"/>
      <c r="RLW183" s="21"/>
      <c r="RLX183" s="21"/>
      <c r="RLY183" s="21"/>
      <c r="RLZ183" s="21"/>
      <c r="RMA183" s="21"/>
      <c r="RMB183" s="21"/>
      <c r="RMC183" s="21"/>
      <c r="RMD183" s="21"/>
      <c r="RME183" s="21"/>
      <c r="RMF183" s="21"/>
      <c r="RMG183" s="21"/>
      <c r="RMH183" s="21"/>
      <c r="RMI183" s="21"/>
      <c r="RMJ183" s="21"/>
      <c r="RMK183" s="21"/>
      <c r="RML183" s="21"/>
      <c r="RMM183" s="21"/>
      <c r="RMN183" s="21"/>
      <c r="RMO183" s="21"/>
      <c r="RMP183" s="21"/>
      <c r="RMQ183" s="21"/>
      <c r="RMR183" s="21"/>
      <c r="RMS183" s="21"/>
      <c r="RMT183" s="21"/>
      <c r="RMU183" s="21"/>
      <c r="RMV183" s="21"/>
      <c r="RMW183" s="21"/>
      <c r="RMX183" s="21"/>
      <c r="RMY183" s="21"/>
      <c r="RMZ183" s="21"/>
      <c r="RNA183" s="21"/>
      <c r="RNB183" s="21"/>
      <c r="RNC183" s="21"/>
      <c r="RND183" s="21"/>
      <c r="RNE183" s="21"/>
      <c r="RNF183" s="21"/>
      <c r="RNG183" s="21"/>
      <c r="RNH183" s="21"/>
      <c r="RNI183" s="21"/>
      <c r="RNJ183" s="21"/>
      <c r="RNK183" s="21"/>
      <c r="RNL183" s="21"/>
      <c r="RNM183" s="21"/>
      <c r="RNN183" s="21"/>
      <c r="RNO183" s="21"/>
      <c r="RNP183" s="21"/>
      <c r="RNQ183" s="21"/>
      <c r="RNR183" s="21"/>
      <c r="RNS183" s="21"/>
      <c r="RNT183" s="21"/>
      <c r="RNU183" s="21"/>
      <c r="RNV183" s="21"/>
      <c r="RNW183" s="21"/>
      <c r="RNX183" s="21"/>
      <c r="RNY183" s="21"/>
      <c r="RNZ183" s="21"/>
      <c r="ROA183" s="21"/>
      <c r="ROB183" s="21"/>
      <c r="ROC183" s="21"/>
      <c r="ROD183" s="21"/>
      <c r="ROE183" s="21"/>
      <c r="ROF183" s="21"/>
      <c r="ROG183" s="21"/>
      <c r="ROH183" s="21"/>
      <c r="ROI183" s="21"/>
      <c r="ROJ183" s="21"/>
      <c r="ROK183" s="21"/>
      <c r="ROL183" s="21"/>
      <c r="ROM183" s="21"/>
      <c r="RON183" s="21"/>
      <c r="ROO183" s="21"/>
      <c r="ROP183" s="21"/>
      <c r="ROQ183" s="21"/>
      <c r="ROR183" s="21"/>
      <c r="ROS183" s="21"/>
      <c r="ROT183" s="21"/>
      <c r="ROU183" s="21"/>
      <c r="ROV183" s="21"/>
      <c r="ROW183" s="21"/>
      <c r="ROX183" s="21"/>
      <c r="ROY183" s="21"/>
      <c r="ROZ183" s="21"/>
      <c r="RPA183" s="21"/>
      <c r="RPB183" s="21"/>
      <c r="RPC183" s="21"/>
      <c r="RPD183" s="21"/>
      <c r="RPE183" s="21"/>
      <c r="RPF183" s="21"/>
      <c r="RPG183" s="21"/>
      <c r="RPH183" s="21"/>
      <c r="RPI183" s="21"/>
      <c r="RPJ183" s="21"/>
      <c r="RPK183" s="21"/>
      <c r="RPL183" s="21"/>
      <c r="RPM183" s="21"/>
      <c r="RPN183" s="21"/>
      <c r="RPO183" s="21"/>
      <c r="RPP183" s="21"/>
      <c r="RPQ183" s="21"/>
      <c r="RPR183" s="21"/>
      <c r="RPS183" s="21"/>
      <c r="RPT183" s="21"/>
      <c r="RPU183" s="21"/>
      <c r="RPV183" s="21"/>
      <c r="RPW183" s="21"/>
      <c r="RPX183" s="21"/>
      <c r="RPY183" s="21"/>
      <c r="RPZ183" s="21"/>
      <c r="RQA183" s="21"/>
      <c r="RQB183" s="21"/>
      <c r="RQC183" s="21"/>
      <c r="RQD183" s="21"/>
      <c r="RQE183" s="21"/>
      <c r="RQF183" s="21"/>
      <c r="RQG183" s="21"/>
      <c r="RQH183" s="21"/>
      <c r="RQI183" s="21"/>
      <c r="RQJ183" s="21"/>
      <c r="RQK183" s="21"/>
      <c r="RQL183" s="21"/>
      <c r="RQM183" s="21"/>
      <c r="RQN183" s="21"/>
      <c r="RQO183" s="21"/>
      <c r="RQP183" s="21"/>
      <c r="RQQ183" s="21"/>
      <c r="RQR183" s="21"/>
      <c r="RQS183" s="21"/>
      <c r="RQT183" s="21"/>
      <c r="RQU183" s="21"/>
      <c r="RQV183" s="21"/>
      <c r="RQW183" s="21"/>
      <c r="RQX183" s="21"/>
      <c r="RQY183" s="21"/>
      <c r="RQZ183" s="21"/>
      <c r="RRA183" s="21"/>
      <c r="RRB183" s="21"/>
      <c r="RRC183" s="21"/>
      <c r="RRD183" s="21"/>
      <c r="RRE183" s="21"/>
      <c r="RRF183" s="21"/>
      <c r="RRG183" s="21"/>
      <c r="RRH183" s="21"/>
      <c r="RRI183" s="21"/>
      <c r="RRJ183" s="21"/>
      <c r="RRK183" s="21"/>
      <c r="RRL183" s="21"/>
      <c r="RRM183" s="21"/>
      <c r="RRN183" s="21"/>
      <c r="RRO183" s="21"/>
      <c r="RRP183" s="21"/>
      <c r="RRQ183" s="21"/>
      <c r="RRR183" s="21"/>
      <c r="RRS183" s="21"/>
      <c r="RRT183" s="21"/>
      <c r="RRU183" s="21"/>
      <c r="RRV183" s="21"/>
      <c r="RRW183" s="21"/>
      <c r="RRX183" s="21"/>
      <c r="RRY183" s="21"/>
      <c r="RRZ183" s="21"/>
      <c r="RSA183" s="21"/>
      <c r="RSB183" s="21"/>
      <c r="RSC183" s="21"/>
      <c r="RSD183" s="21"/>
      <c r="RSE183" s="21"/>
      <c r="RSF183" s="21"/>
      <c r="RSG183" s="21"/>
      <c r="RSH183" s="21"/>
      <c r="RSI183" s="21"/>
      <c r="RSJ183" s="21"/>
      <c r="RSK183" s="21"/>
      <c r="RSL183" s="21"/>
      <c r="RSM183" s="21"/>
      <c r="RSN183" s="21"/>
      <c r="RSO183" s="21"/>
      <c r="RSP183" s="21"/>
      <c r="RSQ183" s="21"/>
      <c r="RSR183" s="21"/>
      <c r="RSS183" s="21"/>
      <c r="RST183" s="21"/>
      <c r="RSU183" s="21"/>
      <c r="RSV183" s="21"/>
      <c r="RSW183" s="21"/>
      <c r="RSX183" s="21"/>
      <c r="RSY183" s="21"/>
      <c r="RSZ183" s="21"/>
      <c r="RTA183" s="21"/>
      <c r="RTB183" s="21"/>
      <c r="RTC183" s="21"/>
      <c r="RTD183" s="21"/>
      <c r="RTE183" s="21"/>
      <c r="RTF183" s="21"/>
      <c r="RTG183" s="21"/>
      <c r="RTH183" s="21"/>
      <c r="RTI183" s="21"/>
      <c r="RTJ183" s="21"/>
      <c r="RTK183" s="21"/>
      <c r="RTL183" s="21"/>
      <c r="RTM183" s="21"/>
      <c r="RTN183" s="21"/>
      <c r="RTO183" s="21"/>
      <c r="RTP183" s="21"/>
      <c r="RTQ183" s="21"/>
      <c r="RTR183" s="21"/>
      <c r="RTS183" s="21"/>
      <c r="RTT183" s="21"/>
      <c r="RTU183" s="21"/>
      <c r="RTV183" s="21"/>
      <c r="RTW183" s="21"/>
      <c r="RTX183" s="21"/>
      <c r="RTY183" s="21"/>
      <c r="RTZ183" s="21"/>
      <c r="RUA183" s="21"/>
      <c r="RUB183" s="21"/>
      <c r="RUC183" s="21"/>
      <c r="RUD183" s="21"/>
      <c r="RUE183" s="21"/>
      <c r="RUF183" s="21"/>
      <c r="RUG183" s="21"/>
      <c r="RUH183" s="21"/>
      <c r="RUI183" s="21"/>
      <c r="RUJ183" s="21"/>
      <c r="RUK183" s="21"/>
      <c r="RUL183" s="21"/>
      <c r="RUM183" s="21"/>
      <c r="RUN183" s="21"/>
      <c r="RUO183" s="21"/>
      <c r="RUP183" s="21"/>
      <c r="RUQ183" s="21"/>
      <c r="RUR183" s="21"/>
      <c r="RUS183" s="21"/>
      <c r="RUT183" s="21"/>
      <c r="RUU183" s="21"/>
      <c r="RUV183" s="21"/>
      <c r="RUW183" s="21"/>
      <c r="RUX183" s="21"/>
      <c r="RUY183" s="21"/>
      <c r="RUZ183" s="21"/>
      <c r="RVA183" s="21"/>
      <c r="RVB183" s="21"/>
      <c r="RVC183" s="21"/>
      <c r="RVD183" s="21"/>
      <c r="RVE183" s="21"/>
      <c r="RVF183" s="21"/>
      <c r="RVG183" s="21"/>
      <c r="RVH183" s="21"/>
      <c r="RVI183" s="21"/>
      <c r="RVJ183" s="21"/>
      <c r="RVK183" s="21"/>
      <c r="RVL183" s="21"/>
      <c r="RVM183" s="21"/>
      <c r="RVN183" s="21"/>
      <c r="RVO183" s="21"/>
      <c r="RVP183" s="21"/>
      <c r="RVQ183" s="21"/>
      <c r="RVR183" s="21"/>
      <c r="RVS183" s="21"/>
      <c r="RVT183" s="21"/>
      <c r="RVU183" s="21"/>
      <c r="RVV183" s="21"/>
      <c r="RVW183" s="21"/>
      <c r="RVX183" s="21"/>
      <c r="RVY183" s="21"/>
      <c r="RVZ183" s="21"/>
      <c r="RWA183" s="21"/>
      <c r="RWB183" s="21"/>
      <c r="RWC183" s="21"/>
      <c r="RWD183" s="21"/>
      <c r="RWE183" s="21"/>
      <c r="RWF183" s="21"/>
      <c r="RWG183" s="21"/>
      <c r="RWH183" s="21"/>
      <c r="RWI183" s="21"/>
      <c r="RWJ183" s="21"/>
      <c r="RWK183" s="21"/>
      <c r="RWL183" s="21"/>
      <c r="RWM183" s="21"/>
      <c r="RWN183" s="21"/>
      <c r="RWO183" s="21"/>
      <c r="RWP183" s="21"/>
      <c r="RWQ183" s="21"/>
      <c r="RWR183" s="21"/>
      <c r="RWS183" s="21"/>
      <c r="RWT183" s="21"/>
      <c r="RWU183" s="21"/>
      <c r="RWV183" s="21"/>
      <c r="RWW183" s="21"/>
      <c r="RWX183" s="21"/>
      <c r="RWY183" s="21"/>
      <c r="RWZ183" s="21"/>
      <c r="RXA183" s="21"/>
      <c r="RXB183" s="21"/>
      <c r="RXC183" s="21"/>
      <c r="RXD183" s="21"/>
      <c r="RXE183" s="21"/>
      <c r="RXF183" s="21"/>
      <c r="RXG183" s="21"/>
      <c r="RXH183" s="21"/>
      <c r="RXI183" s="21"/>
      <c r="RXJ183" s="21"/>
      <c r="RXK183" s="21"/>
      <c r="RXL183" s="21"/>
      <c r="RXM183" s="21"/>
      <c r="RXN183" s="21"/>
      <c r="RXO183" s="21"/>
      <c r="RXP183" s="21"/>
      <c r="RXQ183" s="21"/>
      <c r="RXR183" s="21"/>
      <c r="RXS183" s="21"/>
      <c r="RXT183" s="21"/>
      <c r="RXU183" s="21"/>
      <c r="RXV183" s="21"/>
      <c r="RXW183" s="21"/>
      <c r="RXX183" s="21"/>
      <c r="RXY183" s="21"/>
      <c r="RXZ183" s="21"/>
      <c r="RYA183" s="21"/>
      <c r="RYB183" s="21"/>
      <c r="RYC183" s="21"/>
      <c r="RYD183" s="21"/>
      <c r="RYE183" s="21"/>
      <c r="RYF183" s="21"/>
      <c r="RYG183" s="21"/>
      <c r="RYH183" s="21"/>
      <c r="RYI183" s="21"/>
      <c r="RYJ183" s="21"/>
      <c r="RYK183" s="21"/>
      <c r="RYL183" s="21"/>
      <c r="RYM183" s="21"/>
      <c r="RYN183" s="21"/>
      <c r="RYO183" s="21"/>
      <c r="RYP183" s="21"/>
      <c r="RYQ183" s="21"/>
      <c r="RYR183" s="21"/>
      <c r="RYS183" s="21"/>
      <c r="RYT183" s="21"/>
      <c r="RYU183" s="21"/>
      <c r="RYV183" s="21"/>
      <c r="RYW183" s="21"/>
      <c r="RYX183" s="21"/>
      <c r="RYY183" s="21"/>
      <c r="RYZ183" s="21"/>
      <c r="RZA183" s="21"/>
      <c r="RZB183" s="21"/>
      <c r="RZC183" s="21"/>
      <c r="RZD183" s="21"/>
      <c r="RZE183" s="21"/>
      <c r="RZF183" s="21"/>
      <c r="RZG183" s="21"/>
      <c r="RZH183" s="21"/>
      <c r="RZI183" s="21"/>
      <c r="RZJ183" s="21"/>
      <c r="RZK183" s="21"/>
      <c r="RZL183" s="21"/>
      <c r="RZM183" s="21"/>
      <c r="RZN183" s="21"/>
      <c r="RZO183" s="21"/>
      <c r="RZP183" s="21"/>
      <c r="RZQ183" s="21"/>
      <c r="RZR183" s="21"/>
      <c r="RZS183" s="21"/>
      <c r="RZT183" s="21"/>
      <c r="RZU183" s="21"/>
      <c r="RZV183" s="21"/>
      <c r="RZW183" s="21"/>
      <c r="RZX183" s="21"/>
      <c r="RZY183" s="21"/>
      <c r="RZZ183" s="21"/>
      <c r="SAA183" s="21"/>
      <c r="SAB183" s="21"/>
      <c r="SAC183" s="21"/>
      <c r="SAD183" s="21"/>
      <c r="SAE183" s="21"/>
      <c r="SAF183" s="21"/>
      <c r="SAG183" s="21"/>
      <c r="SAH183" s="21"/>
      <c r="SAI183" s="21"/>
      <c r="SAJ183" s="21"/>
      <c r="SAK183" s="21"/>
      <c r="SAL183" s="21"/>
      <c r="SAM183" s="21"/>
      <c r="SAN183" s="21"/>
      <c r="SAO183" s="21"/>
      <c r="SAP183" s="21"/>
      <c r="SAQ183" s="21"/>
      <c r="SAR183" s="21"/>
      <c r="SAS183" s="21"/>
      <c r="SAT183" s="21"/>
      <c r="SAU183" s="21"/>
      <c r="SAV183" s="21"/>
      <c r="SAW183" s="21"/>
      <c r="SAX183" s="21"/>
      <c r="SAY183" s="21"/>
      <c r="SAZ183" s="21"/>
      <c r="SBA183" s="21"/>
      <c r="SBB183" s="21"/>
      <c r="SBC183" s="21"/>
      <c r="SBD183" s="21"/>
      <c r="SBE183" s="21"/>
      <c r="SBF183" s="21"/>
      <c r="SBG183" s="21"/>
      <c r="SBH183" s="21"/>
      <c r="SBI183" s="21"/>
      <c r="SBJ183" s="21"/>
      <c r="SBK183" s="21"/>
      <c r="SBL183" s="21"/>
      <c r="SBM183" s="21"/>
      <c r="SBN183" s="21"/>
      <c r="SBO183" s="21"/>
      <c r="SBP183" s="21"/>
      <c r="SBQ183" s="21"/>
      <c r="SBR183" s="21"/>
      <c r="SBS183" s="21"/>
      <c r="SBT183" s="21"/>
      <c r="SBU183" s="21"/>
      <c r="SBV183" s="21"/>
      <c r="SBW183" s="21"/>
      <c r="SBX183" s="21"/>
      <c r="SBY183" s="21"/>
      <c r="SBZ183" s="21"/>
      <c r="SCA183" s="21"/>
      <c r="SCB183" s="21"/>
      <c r="SCC183" s="21"/>
      <c r="SCD183" s="21"/>
      <c r="SCE183" s="21"/>
      <c r="SCF183" s="21"/>
      <c r="SCG183" s="21"/>
      <c r="SCH183" s="21"/>
      <c r="SCI183" s="21"/>
      <c r="SCJ183" s="21"/>
      <c r="SCK183" s="21"/>
      <c r="SCL183" s="21"/>
      <c r="SCM183" s="21"/>
      <c r="SCN183" s="21"/>
      <c r="SCO183" s="21"/>
      <c r="SCP183" s="21"/>
      <c r="SCQ183" s="21"/>
      <c r="SCR183" s="21"/>
      <c r="SCS183" s="21"/>
      <c r="SCT183" s="21"/>
      <c r="SCU183" s="21"/>
      <c r="SCV183" s="21"/>
      <c r="SCW183" s="21"/>
      <c r="SCX183" s="21"/>
      <c r="SCY183" s="21"/>
      <c r="SCZ183" s="21"/>
      <c r="SDA183" s="21"/>
      <c r="SDB183" s="21"/>
      <c r="SDC183" s="21"/>
      <c r="SDD183" s="21"/>
      <c r="SDE183" s="21"/>
      <c r="SDF183" s="21"/>
      <c r="SDG183" s="21"/>
      <c r="SDH183" s="21"/>
      <c r="SDI183" s="21"/>
      <c r="SDJ183" s="21"/>
      <c r="SDK183" s="21"/>
      <c r="SDL183" s="21"/>
      <c r="SDM183" s="21"/>
      <c r="SDN183" s="21"/>
      <c r="SDO183" s="21"/>
      <c r="SDP183" s="21"/>
      <c r="SDQ183" s="21"/>
      <c r="SDR183" s="21"/>
      <c r="SDS183" s="21"/>
      <c r="SDT183" s="21"/>
      <c r="SDU183" s="21"/>
      <c r="SDV183" s="21"/>
      <c r="SDW183" s="21"/>
      <c r="SDX183" s="21"/>
      <c r="SDY183" s="21"/>
      <c r="SDZ183" s="21"/>
      <c r="SEA183" s="21"/>
      <c r="SEB183" s="21"/>
      <c r="SEC183" s="21"/>
      <c r="SED183" s="21"/>
      <c r="SEE183" s="21"/>
      <c r="SEF183" s="21"/>
      <c r="SEG183" s="21"/>
      <c r="SEH183" s="21"/>
      <c r="SEI183" s="21"/>
      <c r="SEJ183" s="21"/>
      <c r="SEK183" s="21"/>
      <c r="SEL183" s="21"/>
      <c r="SEM183" s="21"/>
      <c r="SEN183" s="21"/>
      <c r="SEO183" s="21"/>
      <c r="SEP183" s="21"/>
      <c r="SEQ183" s="21"/>
      <c r="SER183" s="21"/>
      <c r="SES183" s="21"/>
      <c r="SET183" s="21"/>
      <c r="SEU183" s="21"/>
      <c r="SEV183" s="21"/>
      <c r="SEW183" s="21"/>
      <c r="SEX183" s="21"/>
      <c r="SEY183" s="21"/>
      <c r="SEZ183" s="21"/>
      <c r="SFA183" s="21"/>
      <c r="SFB183" s="21"/>
      <c r="SFC183" s="21"/>
      <c r="SFD183" s="21"/>
      <c r="SFE183" s="21"/>
      <c r="SFF183" s="21"/>
      <c r="SFG183" s="21"/>
      <c r="SFH183" s="21"/>
      <c r="SFI183" s="21"/>
      <c r="SFJ183" s="21"/>
      <c r="SFK183" s="21"/>
      <c r="SFL183" s="21"/>
      <c r="SFM183" s="21"/>
      <c r="SFN183" s="21"/>
      <c r="SFO183" s="21"/>
      <c r="SFP183" s="21"/>
      <c r="SFQ183" s="21"/>
      <c r="SFR183" s="21"/>
      <c r="SFS183" s="21"/>
      <c r="SFT183" s="21"/>
      <c r="SFU183" s="21"/>
      <c r="SFV183" s="21"/>
      <c r="SFW183" s="21"/>
      <c r="SFX183" s="21"/>
      <c r="SFY183" s="21"/>
      <c r="SFZ183" s="21"/>
      <c r="SGA183" s="21"/>
      <c r="SGB183" s="21"/>
      <c r="SGC183" s="21"/>
      <c r="SGD183" s="21"/>
      <c r="SGE183" s="21"/>
      <c r="SGF183" s="21"/>
      <c r="SGG183" s="21"/>
      <c r="SGH183" s="21"/>
      <c r="SGI183" s="21"/>
      <c r="SGJ183" s="21"/>
      <c r="SGK183" s="21"/>
      <c r="SGL183" s="21"/>
      <c r="SGM183" s="21"/>
      <c r="SGN183" s="21"/>
      <c r="SGO183" s="21"/>
      <c r="SGP183" s="21"/>
      <c r="SGQ183" s="21"/>
      <c r="SGR183" s="21"/>
      <c r="SGS183" s="21"/>
      <c r="SGT183" s="21"/>
      <c r="SGU183" s="21"/>
      <c r="SGV183" s="21"/>
      <c r="SGW183" s="21"/>
      <c r="SGX183" s="21"/>
      <c r="SGY183" s="21"/>
      <c r="SGZ183" s="21"/>
      <c r="SHA183" s="21"/>
      <c r="SHB183" s="21"/>
      <c r="SHC183" s="21"/>
      <c r="SHD183" s="21"/>
      <c r="SHE183" s="21"/>
      <c r="SHF183" s="21"/>
      <c r="SHG183" s="21"/>
      <c r="SHH183" s="21"/>
      <c r="SHI183" s="21"/>
      <c r="SHJ183" s="21"/>
      <c r="SHK183" s="21"/>
      <c r="SHL183" s="21"/>
      <c r="SHM183" s="21"/>
      <c r="SHN183" s="21"/>
      <c r="SHO183" s="21"/>
      <c r="SHP183" s="21"/>
      <c r="SHQ183" s="21"/>
      <c r="SHR183" s="21"/>
      <c r="SHS183" s="21"/>
      <c r="SHT183" s="21"/>
      <c r="SHU183" s="21"/>
      <c r="SHV183" s="21"/>
      <c r="SHW183" s="21"/>
      <c r="SHX183" s="21"/>
      <c r="SHY183" s="21"/>
      <c r="SHZ183" s="21"/>
      <c r="SIA183" s="21"/>
      <c r="SIB183" s="21"/>
      <c r="SIC183" s="21"/>
      <c r="SID183" s="21"/>
      <c r="SIE183" s="21"/>
      <c r="SIF183" s="21"/>
      <c r="SIG183" s="21"/>
      <c r="SIH183" s="21"/>
      <c r="SII183" s="21"/>
      <c r="SIJ183" s="21"/>
      <c r="SIK183" s="21"/>
      <c r="SIL183" s="21"/>
      <c r="SIM183" s="21"/>
      <c r="SIN183" s="21"/>
      <c r="SIO183" s="21"/>
      <c r="SIP183" s="21"/>
      <c r="SIQ183" s="21"/>
      <c r="SIR183" s="21"/>
      <c r="SIS183" s="21"/>
      <c r="SIT183" s="21"/>
      <c r="SIU183" s="21"/>
      <c r="SIV183" s="21"/>
      <c r="SIW183" s="21"/>
      <c r="SIX183" s="21"/>
      <c r="SIY183" s="21"/>
      <c r="SIZ183" s="21"/>
      <c r="SJA183" s="21"/>
      <c r="SJB183" s="21"/>
      <c r="SJC183" s="21"/>
      <c r="SJD183" s="21"/>
      <c r="SJE183" s="21"/>
      <c r="SJF183" s="21"/>
      <c r="SJG183" s="21"/>
      <c r="SJH183" s="21"/>
      <c r="SJI183" s="21"/>
      <c r="SJJ183" s="21"/>
      <c r="SJK183" s="21"/>
      <c r="SJL183" s="21"/>
      <c r="SJM183" s="21"/>
      <c r="SJN183" s="21"/>
      <c r="SJO183" s="21"/>
      <c r="SJP183" s="21"/>
      <c r="SJQ183" s="21"/>
      <c r="SJR183" s="21"/>
      <c r="SJS183" s="21"/>
      <c r="SJT183" s="21"/>
      <c r="SJU183" s="21"/>
      <c r="SJV183" s="21"/>
      <c r="SJW183" s="21"/>
      <c r="SJX183" s="21"/>
      <c r="SJY183" s="21"/>
      <c r="SJZ183" s="21"/>
      <c r="SKA183" s="21"/>
      <c r="SKB183" s="21"/>
      <c r="SKC183" s="21"/>
      <c r="SKD183" s="21"/>
      <c r="SKE183" s="21"/>
      <c r="SKF183" s="21"/>
      <c r="SKG183" s="21"/>
      <c r="SKH183" s="21"/>
      <c r="SKI183" s="21"/>
      <c r="SKJ183" s="21"/>
      <c r="SKK183" s="21"/>
      <c r="SKL183" s="21"/>
      <c r="SKM183" s="21"/>
      <c r="SKN183" s="21"/>
      <c r="SKO183" s="21"/>
      <c r="SKP183" s="21"/>
      <c r="SKQ183" s="21"/>
      <c r="SKR183" s="21"/>
      <c r="SKS183" s="21"/>
      <c r="SKT183" s="21"/>
      <c r="SKU183" s="21"/>
      <c r="SKV183" s="21"/>
      <c r="SKW183" s="21"/>
      <c r="SKX183" s="21"/>
      <c r="SKY183" s="21"/>
      <c r="SKZ183" s="21"/>
      <c r="SLA183" s="21"/>
      <c r="SLB183" s="21"/>
      <c r="SLC183" s="21"/>
      <c r="SLD183" s="21"/>
      <c r="SLE183" s="21"/>
      <c r="SLF183" s="21"/>
      <c r="SLG183" s="21"/>
      <c r="SLH183" s="21"/>
      <c r="SLI183" s="21"/>
      <c r="SLJ183" s="21"/>
      <c r="SLK183" s="21"/>
      <c r="SLL183" s="21"/>
      <c r="SLM183" s="21"/>
      <c r="SLN183" s="21"/>
      <c r="SLO183" s="21"/>
      <c r="SLP183" s="21"/>
      <c r="SLQ183" s="21"/>
      <c r="SLR183" s="21"/>
      <c r="SLS183" s="21"/>
      <c r="SLT183" s="21"/>
      <c r="SLU183" s="21"/>
      <c r="SLV183" s="21"/>
      <c r="SLW183" s="21"/>
      <c r="SLX183" s="21"/>
      <c r="SLY183" s="21"/>
      <c r="SLZ183" s="21"/>
      <c r="SMA183" s="21"/>
      <c r="SMB183" s="21"/>
      <c r="SMC183" s="21"/>
      <c r="SMD183" s="21"/>
      <c r="SME183" s="21"/>
      <c r="SMF183" s="21"/>
      <c r="SMG183" s="21"/>
      <c r="SMH183" s="21"/>
      <c r="SMI183" s="21"/>
      <c r="SMJ183" s="21"/>
      <c r="SMK183" s="21"/>
      <c r="SML183" s="21"/>
      <c r="SMM183" s="21"/>
      <c r="SMN183" s="21"/>
      <c r="SMO183" s="21"/>
      <c r="SMP183" s="21"/>
      <c r="SMQ183" s="21"/>
      <c r="SMR183" s="21"/>
      <c r="SMS183" s="21"/>
      <c r="SMT183" s="21"/>
      <c r="SMU183" s="21"/>
      <c r="SMV183" s="21"/>
      <c r="SMW183" s="21"/>
      <c r="SMX183" s="21"/>
      <c r="SMY183" s="21"/>
      <c r="SMZ183" s="21"/>
      <c r="SNA183" s="21"/>
      <c r="SNB183" s="21"/>
      <c r="SNC183" s="21"/>
      <c r="SND183" s="21"/>
      <c r="SNE183" s="21"/>
      <c r="SNF183" s="21"/>
      <c r="SNG183" s="21"/>
      <c r="SNH183" s="21"/>
      <c r="SNI183" s="21"/>
      <c r="SNJ183" s="21"/>
      <c r="SNK183" s="21"/>
      <c r="SNL183" s="21"/>
      <c r="SNM183" s="21"/>
      <c r="SNN183" s="21"/>
      <c r="SNO183" s="21"/>
      <c r="SNP183" s="21"/>
      <c r="SNQ183" s="21"/>
      <c r="SNR183" s="21"/>
      <c r="SNS183" s="21"/>
      <c r="SNT183" s="21"/>
      <c r="SNU183" s="21"/>
      <c r="SNV183" s="21"/>
      <c r="SNW183" s="21"/>
      <c r="SNX183" s="21"/>
      <c r="SNY183" s="21"/>
      <c r="SNZ183" s="21"/>
      <c r="SOA183" s="21"/>
      <c r="SOB183" s="21"/>
      <c r="SOC183" s="21"/>
      <c r="SOD183" s="21"/>
      <c r="SOE183" s="21"/>
      <c r="SOF183" s="21"/>
      <c r="SOG183" s="21"/>
      <c r="SOH183" s="21"/>
      <c r="SOI183" s="21"/>
      <c r="SOJ183" s="21"/>
      <c r="SOK183" s="21"/>
      <c r="SOL183" s="21"/>
      <c r="SOM183" s="21"/>
      <c r="SON183" s="21"/>
      <c r="SOO183" s="21"/>
      <c r="SOP183" s="21"/>
      <c r="SOQ183" s="21"/>
      <c r="SOR183" s="21"/>
      <c r="SOS183" s="21"/>
      <c r="SOT183" s="21"/>
      <c r="SOU183" s="21"/>
      <c r="SOV183" s="21"/>
      <c r="SOW183" s="21"/>
      <c r="SOX183" s="21"/>
      <c r="SOY183" s="21"/>
      <c r="SOZ183" s="21"/>
      <c r="SPA183" s="21"/>
      <c r="SPB183" s="21"/>
      <c r="SPC183" s="21"/>
      <c r="SPD183" s="21"/>
      <c r="SPE183" s="21"/>
      <c r="SPF183" s="21"/>
      <c r="SPG183" s="21"/>
      <c r="SPH183" s="21"/>
      <c r="SPI183" s="21"/>
      <c r="SPJ183" s="21"/>
      <c r="SPK183" s="21"/>
      <c r="SPL183" s="21"/>
      <c r="SPM183" s="21"/>
      <c r="SPN183" s="21"/>
      <c r="SPO183" s="21"/>
      <c r="SPP183" s="21"/>
      <c r="SPQ183" s="21"/>
      <c r="SPR183" s="21"/>
      <c r="SPS183" s="21"/>
      <c r="SPT183" s="21"/>
      <c r="SPU183" s="21"/>
      <c r="SPV183" s="21"/>
      <c r="SPW183" s="21"/>
      <c r="SPX183" s="21"/>
      <c r="SPY183" s="21"/>
      <c r="SPZ183" s="21"/>
      <c r="SQA183" s="21"/>
      <c r="SQB183" s="21"/>
      <c r="SQC183" s="21"/>
      <c r="SQD183" s="21"/>
      <c r="SQE183" s="21"/>
      <c r="SQF183" s="21"/>
      <c r="SQG183" s="21"/>
      <c r="SQH183" s="21"/>
      <c r="SQI183" s="21"/>
      <c r="SQJ183" s="21"/>
      <c r="SQK183" s="21"/>
      <c r="SQL183" s="21"/>
      <c r="SQM183" s="21"/>
      <c r="SQN183" s="21"/>
      <c r="SQO183" s="21"/>
      <c r="SQP183" s="21"/>
      <c r="SQQ183" s="21"/>
      <c r="SQR183" s="21"/>
      <c r="SQS183" s="21"/>
      <c r="SQT183" s="21"/>
      <c r="SQU183" s="21"/>
      <c r="SQV183" s="21"/>
      <c r="SQW183" s="21"/>
      <c r="SQX183" s="21"/>
      <c r="SQY183" s="21"/>
      <c r="SQZ183" s="21"/>
      <c r="SRA183" s="21"/>
      <c r="SRB183" s="21"/>
      <c r="SRC183" s="21"/>
      <c r="SRD183" s="21"/>
      <c r="SRE183" s="21"/>
      <c r="SRF183" s="21"/>
      <c r="SRG183" s="21"/>
      <c r="SRH183" s="21"/>
      <c r="SRI183" s="21"/>
      <c r="SRJ183" s="21"/>
      <c r="SRK183" s="21"/>
      <c r="SRL183" s="21"/>
      <c r="SRM183" s="21"/>
      <c r="SRN183" s="21"/>
      <c r="SRO183" s="21"/>
      <c r="SRP183" s="21"/>
      <c r="SRQ183" s="21"/>
      <c r="SRR183" s="21"/>
      <c r="SRS183" s="21"/>
      <c r="SRT183" s="21"/>
      <c r="SRU183" s="21"/>
      <c r="SRV183" s="21"/>
      <c r="SRW183" s="21"/>
      <c r="SRX183" s="21"/>
      <c r="SRY183" s="21"/>
      <c r="SRZ183" s="21"/>
      <c r="SSA183" s="21"/>
      <c r="SSB183" s="21"/>
      <c r="SSC183" s="21"/>
      <c r="SSD183" s="21"/>
      <c r="SSE183" s="21"/>
      <c r="SSF183" s="21"/>
      <c r="SSG183" s="21"/>
      <c r="SSH183" s="21"/>
      <c r="SSI183" s="21"/>
      <c r="SSJ183" s="21"/>
      <c r="SSK183" s="21"/>
      <c r="SSL183" s="21"/>
      <c r="SSM183" s="21"/>
      <c r="SSN183" s="21"/>
      <c r="SSO183" s="21"/>
      <c r="SSP183" s="21"/>
      <c r="SSQ183" s="21"/>
      <c r="SSR183" s="21"/>
      <c r="SSS183" s="21"/>
      <c r="SST183" s="21"/>
      <c r="SSU183" s="21"/>
      <c r="SSV183" s="21"/>
      <c r="SSW183" s="21"/>
      <c r="SSX183" s="21"/>
      <c r="SSY183" s="21"/>
      <c r="SSZ183" s="21"/>
      <c r="STA183" s="21"/>
      <c r="STB183" s="21"/>
      <c r="STC183" s="21"/>
      <c r="STD183" s="21"/>
      <c r="STE183" s="21"/>
      <c r="STF183" s="21"/>
      <c r="STG183" s="21"/>
      <c r="STH183" s="21"/>
      <c r="STI183" s="21"/>
      <c r="STJ183" s="21"/>
      <c r="STK183" s="21"/>
      <c r="STL183" s="21"/>
      <c r="STM183" s="21"/>
      <c r="STN183" s="21"/>
      <c r="STO183" s="21"/>
      <c r="STP183" s="21"/>
      <c r="STQ183" s="21"/>
      <c r="STR183" s="21"/>
      <c r="STS183" s="21"/>
      <c r="STT183" s="21"/>
      <c r="STU183" s="21"/>
      <c r="STV183" s="21"/>
      <c r="STW183" s="21"/>
      <c r="STX183" s="21"/>
      <c r="STY183" s="21"/>
      <c r="STZ183" s="21"/>
      <c r="SUA183" s="21"/>
      <c r="SUB183" s="21"/>
      <c r="SUC183" s="21"/>
      <c r="SUD183" s="21"/>
      <c r="SUE183" s="21"/>
      <c r="SUF183" s="21"/>
      <c r="SUG183" s="21"/>
      <c r="SUH183" s="21"/>
      <c r="SUI183" s="21"/>
      <c r="SUJ183" s="21"/>
      <c r="SUK183" s="21"/>
      <c r="SUL183" s="21"/>
      <c r="SUM183" s="21"/>
      <c r="SUN183" s="21"/>
      <c r="SUO183" s="21"/>
      <c r="SUP183" s="21"/>
      <c r="SUQ183" s="21"/>
      <c r="SUR183" s="21"/>
      <c r="SUS183" s="21"/>
      <c r="SUT183" s="21"/>
      <c r="SUU183" s="21"/>
      <c r="SUV183" s="21"/>
      <c r="SUW183" s="21"/>
      <c r="SUX183" s="21"/>
      <c r="SUY183" s="21"/>
      <c r="SUZ183" s="21"/>
      <c r="SVA183" s="21"/>
      <c r="SVB183" s="21"/>
      <c r="SVC183" s="21"/>
      <c r="SVD183" s="21"/>
      <c r="SVE183" s="21"/>
      <c r="SVF183" s="21"/>
      <c r="SVG183" s="21"/>
      <c r="SVH183" s="21"/>
      <c r="SVI183" s="21"/>
      <c r="SVJ183" s="21"/>
      <c r="SVK183" s="21"/>
      <c r="SVL183" s="21"/>
      <c r="SVM183" s="21"/>
      <c r="SVN183" s="21"/>
      <c r="SVO183" s="21"/>
      <c r="SVP183" s="21"/>
      <c r="SVQ183" s="21"/>
      <c r="SVR183" s="21"/>
      <c r="SVS183" s="21"/>
      <c r="SVT183" s="21"/>
      <c r="SVU183" s="21"/>
      <c r="SVV183" s="21"/>
      <c r="SVW183" s="21"/>
      <c r="SVX183" s="21"/>
      <c r="SVY183" s="21"/>
      <c r="SVZ183" s="21"/>
      <c r="SWA183" s="21"/>
      <c r="SWB183" s="21"/>
      <c r="SWC183" s="21"/>
      <c r="SWD183" s="21"/>
      <c r="SWE183" s="21"/>
      <c r="SWF183" s="21"/>
      <c r="SWG183" s="21"/>
      <c r="SWH183" s="21"/>
      <c r="SWI183" s="21"/>
      <c r="SWJ183" s="21"/>
      <c r="SWK183" s="21"/>
      <c r="SWL183" s="21"/>
      <c r="SWM183" s="21"/>
      <c r="SWN183" s="21"/>
      <c r="SWO183" s="21"/>
      <c r="SWP183" s="21"/>
      <c r="SWQ183" s="21"/>
      <c r="SWR183" s="21"/>
      <c r="SWS183" s="21"/>
      <c r="SWT183" s="21"/>
      <c r="SWU183" s="21"/>
      <c r="SWV183" s="21"/>
      <c r="SWW183" s="21"/>
      <c r="SWX183" s="21"/>
      <c r="SWY183" s="21"/>
      <c r="SWZ183" s="21"/>
      <c r="SXA183" s="21"/>
      <c r="SXB183" s="21"/>
      <c r="SXC183" s="21"/>
      <c r="SXD183" s="21"/>
      <c r="SXE183" s="21"/>
      <c r="SXF183" s="21"/>
      <c r="SXG183" s="21"/>
      <c r="SXH183" s="21"/>
      <c r="SXI183" s="21"/>
      <c r="SXJ183" s="21"/>
      <c r="SXK183" s="21"/>
      <c r="SXL183" s="21"/>
      <c r="SXM183" s="21"/>
      <c r="SXN183" s="21"/>
      <c r="SXO183" s="21"/>
      <c r="SXP183" s="21"/>
      <c r="SXQ183" s="21"/>
      <c r="SXR183" s="21"/>
      <c r="SXS183" s="21"/>
      <c r="SXT183" s="21"/>
      <c r="SXU183" s="21"/>
      <c r="SXV183" s="21"/>
      <c r="SXW183" s="21"/>
      <c r="SXX183" s="21"/>
      <c r="SXY183" s="21"/>
      <c r="SXZ183" s="21"/>
      <c r="SYA183" s="21"/>
      <c r="SYB183" s="21"/>
      <c r="SYC183" s="21"/>
      <c r="SYD183" s="21"/>
      <c r="SYE183" s="21"/>
      <c r="SYF183" s="21"/>
      <c r="SYG183" s="21"/>
      <c r="SYH183" s="21"/>
      <c r="SYI183" s="21"/>
      <c r="SYJ183" s="21"/>
      <c r="SYK183" s="21"/>
      <c r="SYL183" s="21"/>
      <c r="SYM183" s="21"/>
      <c r="SYN183" s="21"/>
      <c r="SYO183" s="21"/>
      <c r="SYP183" s="21"/>
      <c r="SYQ183" s="21"/>
      <c r="SYR183" s="21"/>
      <c r="SYS183" s="21"/>
      <c r="SYT183" s="21"/>
      <c r="SYU183" s="21"/>
      <c r="SYV183" s="21"/>
      <c r="SYW183" s="21"/>
      <c r="SYX183" s="21"/>
      <c r="SYY183" s="21"/>
      <c r="SYZ183" s="21"/>
      <c r="SZA183" s="21"/>
      <c r="SZB183" s="21"/>
      <c r="SZC183" s="21"/>
      <c r="SZD183" s="21"/>
      <c r="SZE183" s="21"/>
      <c r="SZF183" s="21"/>
      <c r="SZG183" s="21"/>
      <c r="SZH183" s="21"/>
      <c r="SZI183" s="21"/>
      <c r="SZJ183" s="21"/>
      <c r="SZK183" s="21"/>
      <c r="SZL183" s="21"/>
      <c r="SZM183" s="21"/>
      <c r="SZN183" s="21"/>
      <c r="SZO183" s="21"/>
      <c r="SZP183" s="21"/>
      <c r="SZQ183" s="21"/>
      <c r="SZR183" s="21"/>
      <c r="SZS183" s="21"/>
      <c r="SZT183" s="21"/>
      <c r="SZU183" s="21"/>
      <c r="SZV183" s="21"/>
      <c r="SZW183" s="21"/>
      <c r="SZX183" s="21"/>
      <c r="SZY183" s="21"/>
      <c r="SZZ183" s="21"/>
      <c r="TAA183" s="21"/>
      <c r="TAB183" s="21"/>
      <c r="TAC183" s="21"/>
      <c r="TAD183" s="21"/>
      <c r="TAE183" s="21"/>
      <c r="TAF183" s="21"/>
      <c r="TAG183" s="21"/>
      <c r="TAH183" s="21"/>
      <c r="TAI183" s="21"/>
      <c r="TAJ183" s="21"/>
      <c r="TAK183" s="21"/>
      <c r="TAL183" s="21"/>
      <c r="TAM183" s="21"/>
      <c r="TAN183" s="21"/>
      <c r="TAO183" s="21"/>
      <c r="TAP183" s="21"/>
      <c r="TAQ183" s="21"/>
      <c r="TAR183" s="21"/>
      <c r="TAS183" s="21"/>
      <c r="TAT183" s="21"/>
      <c r="TAU183" s="21"/>
      <c r="TAV183" s="21"/>
      <c r="TAW183" s="21"/>
      <c r="TAX183" s="21"/>
      <c r="TAY183" s="21"/>
      <c r="TAZ183" s="21"/>
      <c r="TBA183" s="21"/>
      <c r="TBB183" s="21"/>
      <c r="TBC183" s="21"/>
      <c r="TBD183" s="21"/>
      <c r="TBE183" s="21"/>
      <c r="TBF183" s="21"/>
      <c r="TBG183" s="21"/>
      <c r="TBH183" s="21"/>
      <c r="TBI183" s="21"/>
      <c r="TBJ183" s="21"/>
      <c r="TBK183" s="21"/>
      <c r="TBL183" s="21"/>
      <c r="TBM183" s="21"/>
      <c r="TBN183" s="21"/>
      <c r="TBO183" s="21"/>
      <c r="TBP183" s="21"/>
      <c r="TBQ183" s="21"/>
      <c r="TBR183" s="21"/>
      <c r="TBS183" s="21"/>
      <c r="TBT183" s="21"/>
      <c r="TBU183" s="21"/>
      <c r="TBV183" s="21"/>
      <c r="TBW183" s="21"/>
      <c r="TBX183" s="21"/>
      <c r="TBY183" s="21"/>
      <c r="TBZ183" s="21"/>
      <c r="TCA183" s="21"/>
      <c r="TCB183" s="21"/>
      <c r="TCC183" s="21"/>
      <c r="TCD183" s="21"/>
      <c r="TCE183" s="21"/>
      <c r="TCF183" s="21"/>
      <c r="TCG183" s="21"/>
      <c r="TCH183" s="21"/>
      <c r="TCI183" s="21"/>
      <c r="TCJ183" s="21"/>
      <c r="TCK183" s="21"/>
      <c r="TCL183" s="21"/>
      <c r="TCM183" s="21"/>
      <c r="TCN183" s="21"/>
      <c r="TCO183" s="21"/>
      <c r="TCP183" s="21"/>
      <c r="TCQ183" s="21"/>
      <c r="TCR183" s="21"/>
      <c r="TCS183" s="21"/>
      <c r="TCT183" s="21"/>
      <c r="TCU183" s="21"/>
      <c r="TCV183" s="21"/>
      <c r="TCW183" s="21"/>
      <c r="TCX183" s="21"/>
      <c r="TCY183" s="21"/>
      <c r="TCZ183" s="21"/>
      <c r="TDA183" s="21"/>
      <c r="TDB183" s="21"/>
      <c r="TDC183" s="21"/>
      <c r="TDD183" s="21"/>
      <c r="TDE183" s="21"/>
      <c r="TDF183" s="21"/>
      <c r="TDG183" s="21"/>
      <c r="TDH183" s="21"/>
      <c r="TDI183" s="21"/>
      <c r="TDJ183" s="21"/>
      <c r="TDK183" s="21"/>
      <c r="TDL183" s="21"/>
      <c r="TDM183" s="21"/>
      <c r="TDN183" s="21"/>
      <c r="TDO183" s="21"/>
      <c r="TDP183" s="21"/>
      <c r="TDQ183" s="21"/>
      <c r="TDR183" s="21"/>
      <c r="TDS183" s="21"/>
      <c r="TDT183" s="21"/>
      <c r="TDU183" s="21"/>
      <c r="TDV183" s="21"/>
      <c r="TDW183" s="21"/>
      <c r="TDX183" s="21"/>
      <c r="TDY183" s="21"/>
      <c r="TDZ183" s="21"/>
      <c r="TEA183" s="21"/>
      <c r="TEB183" s="21"/>
      <c r="TEC183" s="21"/>
      <c r="TED183" s="21"/>
      <c r="TEE183" s="21"/>
      <c r="TEF183" s="21"/>
      <c r="TEG183" s="21"/>
      <c r="TEH183" s="21"/>
      <c r="TEI183" s="21"/>
      <c r="TEJ183" s="21"/>
      <c r="TEK183" s="21"/>
      <c r="TEL183" s="21"/>
      <c r="TEM183" s="21"/>
      <c r="TEN183" s="21"/>
      <c r="TEO183" s="21"/>
      <c r="TEP183" s="21"/>
      <c r="TEQ183" s="21"/>
      <c r="TER183" s="21"/>
      <c r="TES183" s="21"/>
      <c r="TET183" s="21"/>
      <c r="TEU183" s="21"/>
      <c r="TEV183" s="21"/>
      <c r="TEW183" s="21"/>
      <c r="TEX183" s="21"/>
      <c r="TEY183" s="21"/>
      <c r="TEZ183" s="21"/>
      <c r="TFA183" s="21"/>
      <c r="TFB183" s="21"/>
      <c r="TFC183" s="21"/>
      <c r="TFD183" s="21"/>
      <c r="TFE183" s="21"/>
      <c r="TFF183" s="21"/>
      <c r="TFG183" s="21"/>
      <c r="TFH183" s="21"/>
      <c r="TFI183" s="21"/>
      <c r="TFJ183" s="21"/>
      <c r="TFK183" s="21"/>
      <c r="TFL183" s="21"/>
      <c r="TFM183" s="21"/>
      <c r="TFN183" s="21"/>
      <c r="TFO183" s="21"/>
      <c r="TFP183" s="21"/>
      <c r="TFQ183" s="21"/>
      <c r="TFR183" s="21"/>
      <c r="TFS183" s="21"/>
      <c r="TFT183" s="21"/>
      <c r="TFU183" s="21"/>
      <c r="TFV183" s="21"/>
      <c r="TFW183" s="21"/>
      <c r="TFX183" s="21"/>
      <c r="TFY183" s="21"/>
      <c r="TFZ183" s="21"/>
      <c r="TGA183" s="21"/>
      <c r="TGB183" s="21"/>
      <c r="TGC183" s="21"/>
      <c r="TGD183" s="21"/>
      <c r="TGE183" s="21"/>
      <c r="TGF183" s="21"/>
      <c r="TGG183" s="21"/>
      <c r="TGH183" s="21"/>
      <c r="TGI183" s="21"/>
      <c r="TGJ183" s="21"/>
      <c r="TGK183" s="21"/>
      <c r="TGL183" s="21"/>
      <c r="TGM183" s="21"/>
      <c r="TGN183" s="21"/>
      <c r="TGO183" s="21"/>
      <c r="TGP183" s="21"/>
      <c r="TGQ183" s="21"/>
      <c r="TGR183" s="21"/>
      <c r="TGS183" s="21"/>
      <c r="TGT183" s="21"/>
      <c r="TGU183" s="21"/>
      <c r="TGV183" s="21"/>
      <c r="TGW183" s="21"/>
      <c r="TGX183" s="21"/>
      <c r="TGY183" s="21"/>
      <c r="TGZ183" s="21"/>
      <c r="THA183" s="21"/>
      <c r="THB183" s="21"/>
      <c r="THC183" s="21"/>
      <c r="THD183" s="21"/>
      <c r="THE183" s="21"/>
      <c r="THF183" s="21"/>
      <c r="THG183" s="21"/>
      <c r="THH183" s="21"/>
      <c r="THI183" s="21"/>
      <c r="THJ183" s="21"/>
      <c r="THK183" s="21"/>
      <c r="THL183" s="21"/>
      <c r="THM183" s="21"/>
      <c r="THN183" s="21"/>
      <c r="THO183" s="21"/>
      <c r="THP183" s="21"/>
      <c r="THQ183" s="21"/>
      <c r="THR183" s="21"/>
      <c r="THS183" s="21"/>
      <c r="THT183" s="21"/>
      <c r="THU183" s="21"/>
      <c r="THV183" s="21"/>
      <c r="THW183" s="21"/>
      <c r="THX183" s="21"/>
      <c r="THY183" s="21"/>
      <c r="THZ183" s="21"/>
      <c r="TIA183" s="21"/>
      <c r="TIB183" s="21"/>
      <c r="TIC183" s="21"/>
      <c r="TID183" s="21"/>
      <c r="TIE183" s="21"/>
      <c r="TIF183" s="21"/>
      <c r="TIG183" s="21"/>
      <c r="TIH183" s="21"/>
      <c r="TII183" s="21"/>
      <c r="TIJ183" s="21"/>
      <c r="TIK183" s="21"/>
      <c r="TIL183" s="21"/>
      <c r="TIM183" s="21"/>
      <c r="TIN183" s="21"/>
      <c r="TIO183" s="21"/>
      <c r="TIP183" s="21"/>
      <c r="TIQ183" s="21"/>
      <c r="TIR183" s="21"/>
      <c r="TIS183" s="21"/>
      <c r="TIT183" s="21"/>
      <c r="TIU183" s="21"/>
      <c r="TIV183" s="21"/>
      <c r="TIW183" s="21"/>
      <c r="TIX183" s="21"/>
      <c r="TIY183" s="21"/>
      <c r="TIZ183" s="21"/>
      <c r="TJA183" s="21"/>
      <c r="TJB183" s="21"/>
      <c r="TJC183" s="21"/>
      <c r="TJD183" s="21"/>
      <c r="TJE183" s="21"/>
      <c r="TJF183" s="21"/>
      <c r="TJG183" s="21"/>
      <c r="TJH183" s="21"/>
      <c r="TJI183" s="21"/>
      <c r="TJJ183" s="21"/>
      <c r="TJK183" s="21"/>
      <c r="TJL183" s="21"/>
      <c r="TJM183" s="21"/>
      <c r="TJN183" s="21"/>
      <c r="TJO183" s="21"/>
      <c r="TJP183" s="21"/>
      <c r="TJQ183" s="21"/>
      <c r="TJR183" s="21"/>
      <c r="TJS183" s="21"/>
      <c r="TJT183" s="21"/>
      <c r="TJU183" s="21"/>
      <c r="TJV183" s="21"/>
      <c r="TJW183" s="21"/>
      <c r="TJX183" s="21"/>
      <c r="TJY183" s="21"/>
      <c r="TJZ183" s="21"/>
      <c r="TKA183" s="21"/>
      <c r="TKB183" s="21"/>
      <c r="TKC183" s="21"/>
      <c r="TKD183" s="21"/>
      <c r="TKE183" s="21"/>
      <c r="TKF183" s="21"/>
      <c r="TKG183" s="21"/>
      <c r="TKH183" s="21"/>
      <c r="TKI183" s="21"/>
      <c r="TKJ183" s="21"/>
      <c r="TKK183" s="21"/>
      <c r="TKL183" s="21"/>
      <c r="TKM183" s="21"/>
      <c r="TKN183" s="21"/>
      <c r="TKO183" s="21"/>
      <c r="TKP183" s="21"/>
      <c r="TKQ183" s="21"/>
      <c r="TKR183" s="21"/>
      <c r="TKS183" s="21"/>
      <c r="TKT183" s="21"/>
      <c r="TKU183" s="21"/>
      <c r="TKV183" s="21"/>
      <c r="TKW183" s="21"/>
      <c r="TKX183" s="21"/>
      <c r="TKY183" s="21"/>
      <c r="TKZ183" s="21"/>
      <c r="TLA183" s="21"/>
      <c r="TLB183" s="21"/>
      <c r="TLC183" s="21"/>
      <c r="TLD183" s="21"/>
      <c r="TLE183" s="21"/>
      <c r="TLF183" s="21"/>
      <c r="TLG183" s="21"/>
      <c r="TLH183" s="21"/>
      <c r="TLI183" s="21"/>
      <c r="TLJ183" s="21"/>
      <c r="TLK183" s="21"/>
      <c r="TLL183" s="21"/>
      <c r="TLM183" s="21"/>
      <c r="TLN183" s="21"/>
      <c r="TLO183" s="21"/>
      <c r="TLP183" s="21"/>
      <c r="TLQ183" s="21"/>
      <c r="TLR183" s="21"/>
      <c r="TLS183" s="21"/>
      <c r="TLT183" s="21"/>
      <c r="TLU183" s="21"/>
      <c r="TLV183" s="21"/>
      <c r="TLW183" s="21"/>
      <c r="TLX183" s="21"/>
      <c r="TLY183" s="21"/>
      <c r="TLZ183" s="21"/>
      <c r="TMA183" s="21"/>
      <c r="TMB183" s="21"/>
      <c r="TMC183" s="21"/>
      <c r="TMD183" s="21"/>
      <c r="TME183" s="21"/>
      <c r="TMF183" s="21"/>
      <c r="TMG183" s="21"/>
      <c r="TMH183" s="21"/>
      <c r="TMI183" s="21"/>
      <c r="TMJ183" s="21"/>
      <c r="TMK183" s="21"/>
      <c r="TML183" s="21"/>
      <c r="TMM183" s="21"/>
      <c r="TMN183" s="21"/>
      <c r="TMO183" s="21"/>
      <c r="TMP183" s="21"/>
      <c r="TMQ183" s="21"/>
      <c r="TMR183" s="21"/>
      <c r="TMS183" s="21"/>
      <c r="TMT183" s="21"/>
      <c r="TMU183" s="21"/>
      <c r="TMV183" s="21"/>
      <c r="TMW183" s="21"/>
      <c r="TMX183" s="21"/>
      <c r="TMY183" s="21"/>
      <c r="TMZ183" s="21"/>
      <c r="TNA183" s="21"/>
      <c r="TNB183" s="21"/>
      <c r="TNC183" s="21"/>
      <c r="TND183" s="21"/>
      <c r="TNE183" s="21"/>
      <c r="TNF183" s="21"/>
      <c r="TNG183" s="21"/>
      <c r="TNH183" s="21"/>
      <c r="TNI183" s="21"/>
      <c r="TNJ183" s="21"/>
      <c r="TNK183" s="21"/>
      <c r="TNL183" s="21"/>
      <c r="TNM183" s="21"/>
      <c r="TNN183" s="21"/>
      <c r="TNO183" s="21"/>
      <c r="TNP183" s="21"/>
      <c r="TNQ183" s="21"/>
      <c r="TNR183" s="21"/>
      <c r="TNS183" s="21"/>
      <c r="TNT183" s="21"/>
      <c r="TNU183" s="21"/>
      <c r="TNV183" s="21"/>
      <c r="TNW183" s="21"/>
      <c r="TNX183" s="21"/>
      <c r="TNY183" s="21"/>
      <c r="TNZ183" s="21"/>
      <c r="TOA183" s="21"/>
      <c r="TOB183" s="21"/>
      <c r="TOC183" s="21"/>
      <c r="TOD183" s="21"/>
      <c r="TOE183" s="21"/>
      <c r="TOF183" s="21"/>
      <c r="TOG183" s="21"/>
      <c r="TOH183" s="21"/>
      <c r="TOI183" s="21"/>
      <c r="TOJ183" s="21"/>
      <c r="TOK183" s="21"/>
      <c r="TOL183" s="21"/>
      <c r="TOM183" s="21"/>
      <c r="TON183" s="21"/>
      <c r="TOO183" s="21"/>
      <c r="TOP183" s="21"/>
      <c r="TOQ183" s="21"/>
      <c r="TOR183" s="21"/>
      <c r="TOS183" s="21"/>
      <c r="TOT183" s="21"/>
      <c r="TOU183" s="21"/>
      <c r="TOV183" s="21"/>
      <c r="TOW183" s="21"/>
      <c r="TOX183" s="21"/>
      <c r="TOY183" s="21"/>
      <c r="TOZ183" s="21"/>
      <c r="TPA183" s="21"/>
      <c r="TPB183" s="21"/>
      <c r="TPC183" s="21"/>
      <c r="TPD183" s="21"/>
      <c r="TPE183" s="21"/>
      <c r="TPF183" s="21"/>
      <c r="TPG183" s="21"/>
      <c r="TPH183" s="21"/>
      <c r="TPI183" s="21"/>
      <c r="TPJ183" s="21"/>
      <c r="TPK183" s="21"/>
      <c r="TPL183" s="21"/>
      <c r="TPM183" s="21"/>
      <c r="TPN183" s="21"/>
      <c r="TPO183" s="21"/>
      <c r="TPP183" s="21"/>
      <c r="TPQ183" s="21"/>
      <c r="TPR183" s="21"/>
      <c r="TPS183" s="21"/>
      <c r="TPT183" s="21"/>
      <c r="TPU183" s="21"/>
      <c r="TPV183" s="21"/>
      <c r="TPW183" s="21"/>
      <c r="TPX183" s="21"/>
      <c r="TPY183" s="21"/>
      <c r="TPZ183" s="21"/>
      <c r="TQA183" s="21"/>
      <c r="TQB183" s="21"/>
      <c r="TQC183" s="21"/>
      <c r="TQD183" s="21"/>
      <c r="TQE183" s="21"/>
      <c r="TQF183" s="21"/>
      <c r="TQG183" s="21"/>
      <c r="TQH183" s="21"/>
      <c r="TQI183" s="21"/>
      <c r="TQJ183" s="21"/>
      <c r="TQK183" s="21"/>
      <c r="TQL183" s="21"/>
      <c r="TQM183" s="21"/>
      <c r="TQN183" s="21"/>
      <c r="TQO183" s="21"/>
      <c r="TQP183" s="21"/>
      <c r="TQQ183" s="21"/>
      <c r="TQR183" s="21"/>
      <c r="TQS183" s="21"/>
      <c r="TQT183" s="21"/>
      <c r="TQU183" s="21"/>
      <c r="TQV183" s="21"/>
      <c r="TQW183" s="21"/>
      <c r="TQX183" s="21"/>
      <c r="TQY183" s="21"/>
      <c r="TQZ183" s="21"/>
      <c r="TRA183" s="21"/>
      <c r="TRB183" s="21"/>
      <c r="TRC183" s="21"/>
      <c r="TRD183" s="21"/>
      <c r="TRE183" s="21"/>
      <c r="TRF183" s="21"/>
      <c r="TRG183" s="21"/>
      <c r="TRH183" s="21"/>
      <c r="TRI183" s="21"/>
      <c r="TRJ183" s="21"/>
      <c r="TRK183" s="21"/>
      <c r="TRL183" s="21"/>
      <c r="TRM183" s="21"/>
      <c r="TRN183" s="21"/>
      <c r="TRO183" s="21"/>
      <c r="TRP183" s="21"/>
      <c r="TRQ183" s="21"/>
      <c r="TRR183" s="21"/>
      <c r="TRS183" s="21"/>
      <c r="TRT183" s="21"/>
      <c r="TRU183" s="21"/>
      <c r="TRV183" s="21"/>
      <c r="TRW183" s="21"/>
      <c r="TRX183" s="21"/>
      <c r="TRY183" s="21"/>
      <c r="TRZ183" s="21"/>
      <c r="TSA183" s="21"/>
      <c r="TSB183" s="21"/>
      <c r="TSC183" s="21"/>
      <c r="TSD183" s="21"/>
      <c r="TSE183" s="21"/>
      <c r="TSF183" s="21"/>
      <c r="TSG183" s="21"/>
      <c r="TSH183" s="21"/>
      <c r="TSI183" s="21"/>
      <c r="TSJ183" s="21"/>
      <c r="TSK183" s="21"/>
      <c r="TSL183" s="21"/>
      <c r="TSM183" s="21"/>
      <c r="TSN183" s="21"/>
      <c r="TSO183" s="21"/>
      <c r="TSP183" s="21"/>
      <c r="TSQ183" s="21"/>
      <c r="TSR183" s="21"/>
      <c r="TSS183" s="21"/>
      <c r="TST183" s="21"/>
      <c r="TSU183" s="21"/>
      <c r="TSV183" s="21"/>
      <c r="TSW183" s="21"/>
      <c r="TSX183" s="21"/>
      <c r="TSY183" s="21"/>
      <c r="TSZ183" s="21"/>
      <c r="TTA183" s="21"/>
      <c r="TTB183" s="21"/>
      <c r="TTC183" s="21"/>
      <c r="TTD183" s="21"/>
      <c r="TTE183" s="21"/>
      <c r="TTF183" s="21"/>
      <c r="TTG183" s="21"/>
      <c r="TTH183" s="21"/>
      <c r="TTI183" s="21"/>
      <c r="TTJ183" s="21"/>
      <c r="TTK183" s="21"/>
      <c r="TTL183" s="21"/>
      <c r="TTM183" s="21"/>
      <c r="TTN183" s="21"/>
      <c r="TTO183" s="21"/>
      <c r="TTP183" s="21"/>
      <c r="TTQ183" s="21"/>
      <c r="TTR183" s="21"/>
      <c r="TTS183" s="21"/>
      <c r="TTT183" s="21"/>
      <c r="TTU183" s="21"/>
      <c r="TTV183" s="21"/>
      <c r="TTW183" s="21"/>
      <c r="TTX183" s="21"/>
      <c r="TTY183" s="21"/>
      <c r="TTZ183" s="21"/>
      <c r="TUA183" s="21"/>
      <c r="TUB183" s="21"/>
      <c r="TUC183" s="21"/>
      <c r="TUD183" s="21"/>
      <c r="TUE183" s="21"/>
      <c r="TUF183" s="21"/>
      <c r="TUG183" s="21"/>
      <c r="TUH183" s="21"/>
      <c r="TUI183" s="21"/>
      <c r="TUJ183" s="21"/>
      <c r="TUK183" s="21"/>
      <c r="TUL183" s="21"/>
      <c r="TUM183" s="21"/>
      <c r="TUN183" s="21"/>
      <c r="TUO183" s="21"/>
      <c r="TUP183" s="21"/>
      <c r="TUQ183" s="21"/>
      <c r="TUR183" s="21"/>
      <c r="TUS183" s="21"/>
      <c r="TUT183" s="21"/>
      <c r="TUU183" s="21"/>
      <c r="TUV183" s="21"/>
      <c r="TUW183" s="21"/>
      <c r="TUX183" s="21"/>
      <c r="TUY183" s="21"/>
      <c r="TUZ183" s="21"/>
      <c r="TVA183" s="21"/>
      <c r="TVB183" s="21"/>
      <c r="TVC183" s="21"/>
      <c r="TVD183" s="21"/>
      <c r="TVE183" s="21"/>
      <c r="TVF183" s="21"/>
      <c r="TVG183" s="21"/>
      <c r="TVH183" s="21"/>
      <c r="TVI183" s="21"/>
      <c r="TVJ183" s="21"/>
      <c r="TVK183" s="21"/>
      <c r="TVL183" s="21"/>
      <c r="TVM183" s="21"/>
      <c r="TVN183" s="21"/>
      <c r="TVO183" s="21"/>
      <c r="TVP183" s="21"/>
      <c r="TVQ183" s="21"/>
      <c r="TVR183" s="21"/>
      <c r="TVS183" s="21"/>
      <c r="TVT183" s="21"/>
      <c r="TVU183" s="21"/>
      <c r="TVV183" s="21"/>
      <c r="TVW183" s="21"/>
      <c r="TVX183" s="21"/>
      <c r="TVY183" s="21"/>
      <c r="TVZ183" s="21"/>
      <c r="TWA183" s="21"/>
      <c r="TWB183" s="21"/>
      <c r="TWC183" s="21"/>
      <c r="TWD183" s="21"/>
      <c r="TWE183" s="21"/>
      <c r="TWF183" s="21"/>
      <c r="TWG183" s="21"/>
      <c r="TWH183" s="21"/>
      <c r="TWI183" s="21"/>
      <c r="TWJ183" s="21"/>
      <c r="TWK183" s="21"/>
      <c r="TWL183" s="21"/>
      <c r="TWM183" s="21"/>
      <c r="TWN183" s="21"/>
      <c r="TWO183" s="21"/>
      <c r="TWP183" s="21"/>
      <c r="TWQ183" s="21"/>
      <c r="TWR183" s="21"/>
      <c r="TWS183" s="21"/>
      <c r="TWT183" s="21"/>
      <c r="TWU183" s="21"/>
      <c r="TWV183" s="21"/>
      <c r="TWW183" s="21"/>
      <c r="TWX183" s="21"/>
      <c r="TWY183" s="21"/>
      <c r="TWZ183" s="21"/>
      <c r="TXA183" s="21"/>
      <c r="TXB183" s="21"/>
      <c r="TXC183" s="21"/>
      <c r="TXD183" s="21"/>
      <c r="TXE183" s="21"/>
      <c r="TXF183" s="21"/>
      <c r="TXG183" s="21"/>
      <c r="TXH183" s="21"/>
      <c r="TXI183" s="21"/>
      <c r="TXJ183" s="21"/>
      <c r="TXK183" s="21"/>
      <c r="TXL183" s="21"/>
      <c r="TXM183" s="21"/>
      <c r="TXN183" s="21"/>
      <c r="TXO183" s="21"/>
      <c r="TXP183" s="21"/>
      <c r="TXQ183" s="21"/>
      <c r="TXR183" s="21"/>
      <c r="TXS183" s="21"/>
      <c r="TXT183" s="21"/>
      <c r="TXU183" s="21"/>
      <c r="TXV183" s="21"/>
      <c r="TXW183" s="21"/>
      <c r="TXX183" s="21"/>
      <c r="TXY183" s="21"/>
      <c r="TXZ183" s="21"/>
      <c r="TYA183" s="21"/>
      <c r="TYB183" s="21"/>
      <c r="TYC183" s="21"/>
      <c r="TYD183" s="21"/>
      <c r="TYE183" s="21"/>
      <c r="TYF183" s="21"/>
      <c r="TYG183" s="21"/>
      <c r="TYH183" s="21"/>
      <c r="TYI183" s="21"/>
      <c r="TYJ183" s="21"/>
      <c r="TYK183" s="21"/>
      <c r="TYL183" s="21"/>
      <c r="TYM183" s="21"/>
      <c r="TYN183" s="21"/>
      <c r="TYO183" s="21"/>
      <c r="TYP183" s="21"/>
      <c r="TYQ183" s="21"/>
      <c r="TYR183" s="21"/>
      <c r="TYS183" s="21"/>
      <c r="TYT183" s="21"/>
      <c r="TYU183" s="21"/>
      <c r="TYV183" s="21"/>
      <c r="TYW183" s="21"/>
      <c r="TYX183" s="21"/>
      <c r="TYY183" s="21"/>
      <c r="TYZ183" s="21"/>
      <c r="TZA183" s="21"/>
      <c r="TZB183" s="21"/>
      <c r="TZC183" s="21"/>
      <c r="TZD183" s="21"/>
      <c r="TZE183" s="21"/>
      <c r="TZF183" s="21"/>
      <c r="TZG183" s="21"/>
      <c r="TZH183" s="21"/>
      <c r="TZI183" s="21"/>
      <c r="TZJ183" s="21"/>
      <c r="TZK183" s="21"/>
      <c r="TZL183" s="21"/>
      <c r="TZM183" s="21"/>
      <c r="TZN183" s="21"/>
      <c r="TZO183" s="21"/>
      <c r="TZP183" s="21"/>
      <c r="TZQ183" s="21"/>
      <c r="TZR183" s="21"/>
      <c r="TZS183" s="21"/>
      <c r="TZT183" s="21"/>
      <c r="TZU183" s="21"/>
      <c r="TZV183" s="21"/>
      <c r="TZW183" s="21"/>
      <c r="TZX183" s="21"/>
      <c r="TZY183" s="21"/>
      <c r="TZZ183" s="21"/>
      <c r="UAA183" s="21"/>
      <c r="UAB183" s="21"/>
      <c r="UAC183" s="21"/>
      <c r="UAD183" s="21"/>
      <c r="UAE183" s="21"/>
      <c r="UAF183" s="21"/>
      <c r="UAG183" s="21"/>
      <c r="UAH183" s="21"/>
      <c r="UAI183" s="21"/>
      <c r="UAJ183" s="21"/>
      <c r="UAK183" s="21"/>
      <c r="UAL183" s="21"/>
      <c r="UAM183" s="21"/>
      <c r="UAN183" s="21"/>
      <c r="UAO183" s="21"/>
      <c r="UAP183" s="21"/>
      <c r="UAQ183" s="21"/>
      <c r="UAR183" s="21"/>
      <c r="UAS183" s="21"/>
      <c r="UAT183" s="21"/>
      <c r="UAU183" s="21"/>
      <c r="UAV183" s="21"/>
      <c r="UAW183" s="21"/>
      <c r="UAX183" s="21"/>
      <c r="UAY183" s="21"/>
      <c r="UAZ183" s="21"/>
      <c r="UBA183" s="21"/>
      <c r="UBB183" s="21"/>
      <c r="UBC183" s="21"/>
      <c r="UBD183" s="21"/>
      <c r="UBE183" s="21"/>
      <c r="UBF183" s="21"/>
      <c r="UBG183" s="21"/>
      <c r="UBH183" s="21"/>
      <c r="UBI183" s="21"/>
      <c r="UBJ183" s="21"/>
      <c r="UBK183" s="21"/>
      <c r="UBL183" s="21"/>
      <c r="UBM183" s="21"/>
      <c r="UBN183" s="21"/>
      <c r="UBO183" s="21"/>
      <c r="UBP183" s="21"/>
      <c r="UBQ183" s="21"/>
      <c r="UBR183" s="21"/>
      <c r="UBS183" s="21"/>
      <c r="UBT183" s="21"/>
      <c r="UBU183" s="21"/>
      <c r="UBV183" s="21"/>
      <c r="UBW183" s="21"/>
      <c r="UBX183" s="21"/>
      <c r="UBY183" s="21"/>
      <c r="UBZ183" s="21"/>
      <c r="UCA183" s="21"/>
      <c r="UCB183" s="21"/>
      <c r="UCC183" s="21"/>
      <c r="UCD183" s="21"/>
      <c r="UCE183" s="21"/>
      <c r="UCF183" s="21"/>
      <c r="UCG183" s="21"/>
      <c r="UCH183" s="21"/>
      <c r="UCI183" s="21"/>
      <c r="UCJ183" s="21"/>
      <c r="UCK183" s="21"/>
      <c r="UCL183" s="21"/>
      <c r="UCM183" s="21"/>
      <c r="UCN183" s="21"/>
      <c r="UCO183" s="21"/>
      <c r="UCP183" s="21"/>
      <c r="UCQ183" s="21"/>
      <c r="UCR183" s="21"/>
      <c r="UCS183" s="21"/>
      <c r="UCT183" s="21"/>
      <c r="UCU183" s="21"/>
      <c r="UCV183" s="21"/>
      <c r="UCW183" s="21"/>
      <c r="UCX183" s="21"/>
      <c r="UCY183" s="21"/>
      <c r="UCZ183" s="21"/>
      <c r="UDA183" s="21"/>
      <c r="UDB183" s="21"/>
      <c r="UDC183" s="21"/>
      <c r="UDD183" s="21"/>
      <c r="UDE183" s="21"/>
      <c r="UDF183" s="21"/>
      <c r="UDG183" s="21"/>
      <c r="UDH183" s="21"/>
      <c r="UDI183" s="21"/>
      <c r="UDJ183" s="21"/>
      <c r="UDK183" s="21"/>
      <c r="UDL183" s="21"/>
      <c r="UDM183" s="21"/>
      <c r="UDN183" s="21"/>
      <c r="UDO183" s="21"/>
      <c r="UDP183" s="21"/>
      <c r="UDQ183" s="21"/>
      <c r="UDR183" s="21"/>
      <c r="UDS183" s="21"/>
      <c r="UDT183" s="21"/>
      <c r="UDU183" s="21"/>
      <c r="UDV183" s="21"/>
      <c r="UDW183" s="21"/>
      <c r="UDX183" s="21"/>
      <c r="UDY183" s="21"/>
      <c r="UDZ183" s="21"/>
      <c r="UEA183" s="21"/>
      <c r="UEB183" s="21"/>
      <c r="UEC183" s="21"/>
      <c r="UED183" s="21"/>
      <c r="UEE183" s="21"/>
      <c r="UEF183" s="21"/>
      <c r="UEG183" s="21"/>
      <c r="UEH183" s="21"/>
      <c r="UEI183" s="21"/>
      <c r="UEJ183" s="21"/>
      <c r="UEK183" s="21"/>
      <c r="UEL183" s="21"/>
      <c r="UEM183" s="21"/>
      <c r="UEN183" s="21"/>
      <c r="UEO183" s="21"/>
      <c r="UEP183" s="21"/>
      <c r="UEQ183" s="21"/>
      <c r="UER183" s="21"/>
      <c r="UES183" s="21"/>
      <c r="UET183" s="21"/>
      <c r="UEU183" s="21"/>
      <c r="UEV183" s="21"/>
      <c r="UEW183" s="21"/>
      <c r="UEX183" s="21"/>
      <c r="UEY183" s="21"/>
      <c r="UEZ183" s="21"/>
      <c r="UFA183" s="21"/>
      <c r="UFB183" s="21"/>
      <c r="UFC183" s="21"/>
      <c r="UFD183" s="21"/>
      <c r="UFE183" s="21"/>
      <c r="UFF183" s="21"/>
      <c r="UFG183" s="21"/>
      <c r="UFH183" s="21"/>
      <c r="UFI183" s="21"/>
      <c r="UFJ183" s="21"/>
      <c r="UFK183" s="21"/>
      <c r="UFL183" s="21"/>
      <c r="UFM183" s="21"/>
      <c r="UFN183" s="21"/>
      <c r="UFO183" s="21"/>
      <c r="UFP183" s="21"/>
      <c r="UFQ183" s="21"/>
      <c r="UFR183" s="21"/>
      <c r="UFS183" s="21"/>
      <c r="UFT183" s="21"/>
      <c r="UFU183" s="21"/>
      <c r="UFV183" s="21"/>
      <c r="UFW183" s="21"/>
      <c r="UFX183" s="21"/>
      <c r="UFY183" s="21"/>
      <c r="UFZ183" s="21"/>
      <c r="UGA183" s="21"/>
      <c r="UGB183" s="21"/>
      <c r="UGC183" s="21"/>
      <c r="UGD183" s="21"/>
      <c r="UGE183" s="21"/>
      <c r="UGF183" s="21"/>
      <c r="UGG183" s="21"/>
      <c r="UGH183" s="21"/>
      <c r="UGI183" s="21"/>
      <c r="UGJ183" s="21"/>
      <c r="UGK183" s="21"/>
      <c r="UGL183" s="21"/>
      <c r="UGM183" s="21"/>
      <c r="UGN183" s="21"/>
      <c r="UGO183" s="21"/>
      <c r="UGP183" s="21"/>
      <c r="UGQ183" s="21"/>
      <c r="UGR183" s="21"/>
      <c r="UGS183" s="21"/>
      <c r="UGT183" s="21"/>
      <c r="UGU183" s="21"/>
      <c r="UGV183" s="21"/>
      <c r="UGW183" s="21"/>
      <c r="UGX183" s="21"/>
      <c r="UGY183" s="21"/>
      <c r="UGZ183" s="21"/>
      <c r="UHA183" s="21"/>
      <c r="UHB183" s="21"/>
      <c r="UHC183" s="21"/>
      <c r="UHD183" s="21"/>
      <c r="UHE183" s="21"/>
      <c r="UHF183" s="21"/>
      <c r="UHG183" s="21"/>
      <c r="UHH183" s="21"/>
      <c r="UHI183" s="21"/>
      <c r="UHJ183" s="21"/>
      <c r="UHK183" s="21"/>
      <c r="UHL183" s="21"/>
      <c r="UHM183" s="21"/>
      <c r="UHN183" s="21"/>
      <c r="UHO183" s="21"/>
      <c r="UHP183" s="21"/>
      <c r="UHQ183" s="21"/>
      <c r="UHR183" s="21"/>
      <c r="UHS183" s="21"/>
      <c r="UHT183" s="21"/>
      <c r="UHU183" s="21"/>
      <c r="UHV183" s="21"/>
      <c r="UHW183" s="21"/>
      <c r="UHX183" s="21"/>
      <c r="UHY183" s="21"/>
      <c r="UHZ183" s="21"/>
      <c r="UIA183" s="21"/>
      <c r="UIB183" s="21"/>
      <c r="UIC183" s="21"/>
      <c r="UID183" s="21"/>
      <c r="UIE183" s="21"/>
      <c r="UIF183" s="21"/>
      <c r="UIG183" s="21"/>
      <c r="UIH183" s="21"/>
      <c r="UII183" s="21"/>
      <c r="UIJ183" s="21"/>
      <c r="UIK183" s="21"/>
      <c r="UIL183" s="21"/>
      <c r="UIM183" s="21"/>
      <c r="UIN183" s="21"/>
      <c r="UIO183" s="21"/>
      <c r="UIP183" s="21"/>
      <c r="UIQ183" s="21"/>
      <c r="UIR183" s="21"/>
      <c r="UIS183" s="21"/>
      <c r="UIT183" s="21"/>
      <c r="UIU183" s="21"/>
      <c r="UIV183" s="21"/>
      <c r="UIW183" s="21"/>
      <c r="UIX183" s="21"/>
      <c r="UIY183" s="21"/>
      <c r="UIZ183" s="21"/>
      <c r="UJA183" s="21"/>
      <c r="UJB183" s="21"/>
      <c r="UJC183" s="21"/>
      <c r="UJD183" s="21"/>
      <c r="UJE183" s="21"/>
      <c r="UJF183" s="21"/>
      <c r="UJG183" s="21"/>
      <c r="UJH183" s="21"/>
      <c r="UJI183" s="21"/>
      <c r="UJJ183" s="21"/>
      <c r="UJK183" s="21"/>
      <c r="UJL183" s="21"/>
      <c r="UJM183" s="21"/>
      <c r="UJN183" s="21"/>
      <c r="UJO183" s="21"/>
      <c r="UJP183" s="21"/>
      <c r="UJQ183" s="21"/>
      <c r="UJR183" s="21"/>
      <c r="UJS183" s="21"/>
      <c r="UJT183" s="21"/>
      <c r="UJU183" s="21"/>
      <c r="UJV183" s="21"/>
      <c r="UJW183" s="21"/>
      <c r="UJX183" s="21"/>
      <c r="UJY183" s="21"/>
      <c r="UJZ183" s="21"/>
      <c r="UKA183" s="21"/>
      <c r="UKB183" s="21"/>
      <c r="UKC183" s="21"/>
      <c r="UKD183" s="21"/>
      <c r="UKE183" s="21"/>
      <c r="UKF183" s="21"/>
      <c r="UKG183" s="21"/>
      <c r="UKH183" s="21"/>
      <c r="UKI183" s="21"/>
      <c r="UKJ183" s="21"/>
      <c r="UKK183" s="21"/>
      <c r="UKL183" s="21"/>
      <c r="UKM183" s="21"/>
      <c r="UKN183" s="21"/>
      <c r="UKO183" s="21"/>
      <c r="UKP183" s="21"/>
      <c r="UKQ183" s="21"/>
      <c r="UKR183" s="21"/>
      <c r="UKS183" s="21"/>
      <c r="UKT183" s="21"/>
      <c r="UKU183" s="21"/>
      <c r="UKV183" s="21"/>
      <c r="UKW183" s="21"/>
      <c r="UKX183" s="21"/>
      <c r="UKY183" s="21"/>
      <c r="UKZ183" s="21"/>
      <c r="ULA183" s="21"/>
      <c r="ULB183" s="21"/>
      <c r="ULC183" s="21"/>
      <c r="ULD183" s="21"/>
      <c r="ULE183" s="21"/>
      <c r="ULF183" s="21"/>
      <c r="ULG183" s="21"/>
      <c r="ULH183" s="21"/>
      <c r="ULI183" s="21"/>
      <c r="ULJ183" s="21"/>
      <c r="ULK183" s="21"/>
      <c r="ULL183" s="21"/>
      <c r="ULM183" s="21"/>
      <c r="ULN183" s="21"/>
      <c r="ULO183" s="21"/>
      <c r="ULP183" s="21"/>
      <c r="ULQ183" s="21"/>
      <c r="ULR183" s="21"/>
      <c r="ULS183" s="21"/>
      <c r="ULT183" s="21"/>
      <c r="ULU183" s="21"/>
      <c r="ULV183" s="21"/>
      <c r="ULW183" s="21"/>
      <c r="ULX183" s="21"/>
      <c r="ULY183" s="21"/>
      <c r="ULZ183" s="21"/>
      <c r="UMA183" s="21"/>
      <c r="UMB183" s="21"/>
      <c r="UMC183" s="21"/>
      <c r="UMD183" s="21"/>
      <c r="UME183" s="21"/>
      <c r="UMF183" s="21"/>
      <c r="UMG183" s="21"/>
      <c r="UMH183" s="21"/>
      <c r="UMI183" s="21"/>
      <c r="UMJ183" s="21"/>
      <c r="UMK183" s="21"/>
      <c r="UML183" s="21"/>
      <c r="UMM183" s="21"/>
      <c r="UMN183" s="21"/>
      <c r="UMO183" s="21"/>
      <c r="UMP183" s="21"/>
      <c r="UMQ183" s="21"/>
      <c r="UMR183" s="21"/>
      <c r="UMS183" s="21"/>
      <c r="UMT183" s="21"/>
      <c r="UMU183" s="21"/>
      <c r="UMV183" s="21"/>
      <c r="UMW183" s="21"/>
      <c r="UMX183" s="21"/>
      <c r="UMY183" s="21"/>
      <c r="UMZ183" s="21"/>
      <c r="UNA183" s="21"/>
      <c r="UNB183" s="21"/>
      <c r="UNC183" s="21"/>
      <c r="UND183" s="21"/>
      <c r="UNE183" s="21"/>
      <c r="UNF183" s="21"/>
      <c r="UNG183" s="21"/>
      <c r="UNH183" s="21"/>
      <c r="UNI183" s="21"/>
      <c r="UNJ183" s="21"/>
      <c r="UNK183" s="21"/>
      <c r="UNL183" s="21"/>
      <c r="UNM183" s="21"/>
      <c r="UNN183" s="21"/>
      <c r="UNO183" s="21"/>
      <c r="UNP183" s="21"/>
      <c r="UNQ183" s="21"/>
      <c r="UNR183" s="21"/>
      <c r="UNS183" s="21"/>
      <c r="UNT183" s="21"/>
      <c r="UNU183" s="21"/>
      <c r="UNV183" s="21"/>
      <c r="UNW183" s="21"/>
      <c r="UNX183" s="21"/>
      <c r="UNY183" s="21"/>
      <c r="UNZ183" s="21"/>
      <c r="UOA183" s="21"/>
      <c r="UOB183" s="21"/>
      <c r="UOC183" s="21"/>
      <c r="UOD183" s="21"/>
      <c r="UOE183" s="21"/>
      <c r="UOF183" s="21"/>
      <c r="UOG183" s="21"/>
      <c r="UOH183" s="21"/>
      <c r="UOI183" s="21"/>
      <c r="UOJ183" s="21"/>
      <c r="UOK183" s="21"/>
      <c r="UOL183" s="21"/>
      <c r="UOM183" s="21"/>
      <c r="UON183" s="21"/>
      <c r="UOO183" s="21"/>
      <c r="UOP183" s="21"/>
      <c r="UOQ183" s="21"/>
      <c r="UOR183" s="21"/>
      <c r="UOS183" s="21"/>
      <c r="UOT183" s="21"/>
      <c r="UOU183" s="21"/>
      <c r="UOV183" s="21"/>
      <c r="UOW183" s="21"/>
      <c r="UOX183" s="21"/>
      <c r="UOY183" s="21"/>
      <c r="UOZ183" s="21"/>
      <c r="UPA183" s="21"/>
      <c r="UPB183" s="21"/>
      <c r="UPC183" s="21"/>
      <c r="UPD183" s="21"/>
      <c r="UPE183" s="21"/>
      <c r="UPF183" s="21"/>
      <c r="UPG183" s="21"/>
      <c r="UPH183" s="21"/>
      <c r="UPI183" s="21"/>
      <c r="UPJ183" s="21"/>
      <c r="UPK183" s="21"/>
      <c r="UPL183" s="21"/>
      <c r="UPM183" s="21"/>
      <c r="UPN183" s="21"/>
      <c r="UPO183" s="21"/>
      <c r="UPP183" s="21"/>
      <c r="UPQ183" s="21"/>
      <c r="UPR183" s="21"/>
      <c r="UPS183" s="21"/>
      <c r="UPT183" s="21"/>
      <c r="UPU183" s="21"/>
      <c r="UPV183" s="21"/>
      <c r="UPW183" s="21"/>
      <c r="UPX183" s="21"/>
      <c r="UPY183" s="21"/>
      <c r="UPZ183" s="21"/>
      <c r="UQA183" s="21"/>
      <c r="UQB183" s="21"/>
      <c r="UQC183" s="21"/>
      <c r="UQD183" s="21"/>
      <c r="UQE183" s="21"/>
      <c r="UQF183" s="21"/>
      <c r="UQG183" s="21"/>
      <c r="UQH183" s="21"/>
      <c r="UQI183" s="21"/>
      <c r="UQJ183" s="21"/>
      <c r="UQK183" s="21"/>
      <c r="UQL183" s="21"/>
      <c r="UQM183" s="21"/>
      <c r="UQN183" s="21"/>
      <c r="UQO183" s="21"/>
      <c r="UQP183" s="21"/>
      <c r="UQQ183" s="21"/>
      <c r="UQR183" s="21"/>
      <c r="UQS183" s="21"/>
      <c r="UQT183" s="21"/>
      <c r="UQU183" s="21"/>
      <c r="UQV183" s="21"/>
      <c r="UQW183" s="21"/>
      <c r="UQX183" s="21"/>
      <c r="UQY183" s="21"/>
      <c r="UQZ183" s="21"/>
      <c r="URA183" s="21"/>
      <c r="URB183" s="21"/>
      <c r="URC183" s="21"/>
      <c r="URD183" s="21"/>
      <c r="URE183" s="21"/>
      <c r="URF183" s="21"/>
      <c r="URG183" s="21"/>
      <c r="URH183" s="21"/>
      <c r="URI183" s="21"/>
      <c r="URJ183" s="21"/>
      <c r="URK183" s="21"/>
      <c r="URL183" s="21"/>
      <c r="URM183" s="21"/>
      <c r="URN183" s="21"/>
      <c r="URO183" s="21"/>
      <c r="URP183" s="21"/>
      <c r="URQ183" s="21"/>
      <c r="URR183" s="21"/>
      <c r="URS183" s="21"/>
      <c r="URT183" s="21"/>
      <c r="URU183" s="21"/>
      <c r="URV183" s="21"/>
      <c r="URW183" s="21"/>
      <c r="URX183" s="21"/>
      <c r="URY183" s="21"/>
      <c r="URZ183" s="21"/>
      <c r="USA183" s="21"/>
      <c r="USB183" s="21"/>
      <c r="USC183" s="21"/>
      <c r="USD183" s="21"/>
      <c r="USE183" s="21"/>
      <c r="USF183" s="21"/>
      <c r="USG183" s="21"/>
      <c r="USH183" s="21"/>
      <c r="USI183" s="21"/>
      <c r="USJ183" s="21"/>
      <c r="USK183" s="21"/>
      <c r="USL183" s="21"/>
      <c r="USM183" s="21"/>
      <c r="USN183" s="21"/>
      <c r="USO183" s="21"/>
      <c r="USP183" s="21"/>
      <c r="USQ183" s="21"/>
      <c r="USR183" s="21"/>
      <c r="USS183" s="21"/>
      <c r="UST183" s="21"/>
      <c r="USU183" s="21"/>
      <c r="USV183" s="21"/>
      <c r="USW183" s="21"/>
      <c r="USX183" s="21"/>
      <c r="USY183" s="21"/>
      <c r="USZ183" s="21"/>
      <c r="UTA183" s="21"/>
      <c r="UTB183" s="21"/>
      <c r="UTC183" s="21"/>
      <c r="UTD183" s="21"/>
      <c r="UTE183" s="21"/>
      <c r="UTF183" s="21"/>
      <c r="UTG183" s="21"/>
      <c r="UTH183" s="21"/>
      <c r="UTI183" s="21"/>
      <c r="UTJ183" s="21"/>
      <c r="UTK183" s="21"/>
      <c r="UTL183" s="21"/>
      <c r="UTM183" s="21"/>
      <c r="UTN183" s="21"/>
      <c r="UTO183" s="21"/>
      <c r="UTP183" s="21"/>
      <c r="UTQ183" s="21"/>
      <c r="UTR183" s="21"/>
      <c r="UTS183" s="21"/>
      <c r="UTT183" s="21"/>
      <c r="UTU183" s="21"/>
      <c r="UTV183" s="21"/>
      <c r="UTW183" s="21"/>
      <c r="UTX183" s="21"/>
      <c r="UTY183" s="21"/>
      <c r="UTZ183" s="21"/>
      <c r="UUA183" s="21"/>
      <c r="UUB183" s="21"/>
      <c r="UUC183" s="21"/>
      <c r="UUD183" s="21"/>
      <c r="UUE183" s="21"/>
      <c r="UUF183" s="21"/>
      <c r="UUG183" s="21"/>
      <c r="UUH183" s="21"/>
      <c r="UUI183" s="21"/>
      <c r="UUJ183" s="21"/>
      <c r="UUK183" s="21"/>
      <c r="UUL183" s="21"/>
      <c r="UUM183" s="21"/>
      <c r="UUN183" s="21"/>
      <c r="UUO183" s="21"/>
      <c r="UUP183" s="21"/>
      <c r="UUQ183" s="21"/>
      <c r="UUR183" s="21"/>
      <c r="UUS183" s="21"/>
      <c r="UUT183" s="21"/>
      <c r="UUU183" s="21"/>
      <c r="UUV183" s="21"/>
      <c r="UUW183" s="21"/>
      <c r="UUX183" s="21"/>
      <c r="UUY183" s="21"/>
      <c r="UUZ183" s="21"/>
      <c r="UVA183" s="21"/>
      <c r="UVB183" s="21"/>
      <c r="UVC183" s="21"/>
      <c r="UVD183" s="21"/>
      <c r="UVE183" s="21"/>
      <c r="UVF183" s="21"/>
      <c r="UVG183" s="21"/>
      <c r="UVH183" s="21"/>
      <c r="UVI183" s="21"/>
      <c r="UVJ183" s="21"/>
      <c r="UVK183" s="21"/>
      <c r="UVL183" s="21"/>
      <c r="UVM183" s="21"/>
      <c r="UVN183" s="21"/>
      <c r="UVO183" s="21"/>
      <c r="UVP183" s="21"/>
      <c r="UVQ183" s="21"/>
      <c r="UVR183" s="21"/>
      <c r="UVS183" s="21"/>
      <c r="UVT183" s="21"/>
      <c r="UVU183" s="21"/>
      <c r="UVV183" s="21"/>
      <c r="UVW183" s="21"/>
      <c r="UVX183" s="21"/>
      <c r="UVY183" s="21"/>
      <c r="UVZ183" s="21"/>
      <c r="UWA183" s="21"/>
      <c r="UWB183" s="21"/>
      <c r="UWC183" s="21"/>
      <c r="UWD183" s="21"/>
      <c r="UWE183" s="21"/>
      <c r="UWF183" s="21"/>
      <c r="UWG183" s="21"/>
      <c r="UWH183" s="21"/>
      <c r="UWI183" s="21"/>
      <c r="UWJ183" s="21"/>
      <c r="UWK183" s="21"/>
      <c r="UWL183" s="21"/>
      <c r="UWM183" s="21"/>
      <c r="UWN183" s="21"/>
      <c r="UWO183" s="21"/>
      <c r="UWP183" s="21"/>
      <c r="UWQ183" s="21"/>
      <c r="UWR183" s="21"/>
      <c r="UWS183" s="21"/>
      <c r="UWT183" s="21"/>
      <c r="UWU183" s="21"/>
      <c r="UWV183" s="21"/>
      <c r="UWW183" s="21"/>
      <c r="UWX183" s="21"/>
      <c r="UWY183" s="21"/>
      <c r="UWZ183" s="21"/>
      <c r="UXA183" s="21"/>
      <c r="UXB183" s="21"/>
      <c r="UXC183" s="21"/>
      <c r="UXD183" s="21"/>
      <c r="UXE183" s="21"/>
      <c r="UXF183" s="21"/>
      <c r="UXG183" s="21"/>
      <c r="UXH183" s="21"/>
      <c r="UXI183" s="21"/>
      <c r="UXJ183" s="21"/>
      <c r="UXK183" s="21"/>
      <c r="UXL183" s="21"/>
      <c r="UXM183" s="21"/>
      <c r="UXN183" s="21"/>
      <c r="UXO183" s="21"/>
      <c r="UXP183" s="21"/>
      <c r="UXQ183" s="21"/>
      <c r="UXR183" s="21"/>
      <c r="UXS183" s="21"/>
      <c r="UXT183" s="21"/>
      <c r="UXU183" s="21"/>
      <c r="UXV183" s="21"/>
      <c r="UXW183" s="21"/>
      <c r="UXX183" s="21"/>
      <c r="UXY183" s="21"/>
      <c r="UXZ183" s="21"/>
      <c r="UYA183" s="21"/>
      <c r="UYB183" s="21"/>
      <c r="UYC183" s="21"/>
      <c r="UYD183" s="21"/>
      <c r="UYE183" s="21"/>
      <c r="UYF183" s="21"/>
      <c r="UYG183" s="21"/>
      <c r="UYH183" s="21"/>
      <c r="UYI183" s="21"/>
      <c r="UYJ183" s="21"/>
      <c r="UYK183" s="21"/>
      <c r="UYL183" s="21"/>
      <c r="UYM183" s="21"/>
      <c r="UYN183" s="21"/>
      <c r="UYO183" s="21"/>
      <c r="UYP183" s="21"/>
      <c r="UYQ183" s="21"/>
      <c r="UYR183" s="21"/>
      <c r="UYS183" s="21"/>
      <c r="UYT183" s="21"/>
      <c r="UYU183" s="21"/>
      <c r="UYV183" s="21"/>
      <c r="UYW183" s="21"/>
      <c r="UYX183" s="21"/>
      <c r="UYY183" s="21"/>
      <c r="UYZ183" s="21"/>
      <c r="UZA183" s="21"/>
      <c r="UZB183" s="21"/>
      <c r="UZC183" s="21"/>
      <c r="UZD183" s="21"/>
      <c r="UZE183" s="21"/>
      <c r="UZF183" s="21"/>
      <c r="UZG183" s="21"/>
      <c r="UZH183" s="21"/>
      <c r="UZI183" s="21"/>
      <c r="UZJ183" s="21"/>
      <c r="UZK183" s="21"/>
      <c r="UZL183" s="21"/>
      <c r="UZM183" s="21"/>
      <c r="UZN183" s="21"/>
      <c r="UZO183" s="21"/>
      <c r="UZP183" s="21"/>
      <c r="UZQ183" s="21"/>
      <c r="UZR183" s="21"/>
      <c r="UZS183" s="21"/>
      <c r="UZT183" s="21"/>
      <c r="UZU183" s="21"/>
      <c r="UZV183" s="21"/>
      <c r="UZW183" s="21"/>
      <c r="UZX183" s="21"/>
      <c r="UZY183" s="21"/>
      <c r="UZZ183" s="21"/>
      <c r="VAA183" s="21"/>
      <c r="VAB183" s="21"/>
      <c r="VAC183" s="21"/>
      <c r="VAD183" s="21"/>
      <c r="VAE183" s="21"/>
      <c r="VAF183" s="21"/>
      <c r="VAG183" s="21"/>
      <c r="VAH183" s="21"/>
      <c r="VAI183" s="21"/>
      <c r="VAJ183" s="21"/>
      <c r="VAK183" s="21"/>
      <c r="VAL183" s="21"/>
      <c r="VAM183" s="21"/>
      <c r="VAN183" s="21"/>
      <c r="VAO183" s="21"/>
      <c r="VAP183" s="21"/>
      <c r="VAQ183" s="21"/>
      <c r="VAR183" s="21"/>
      <c r="VAS183" s="21"/>
      <c r="VAT183" s="21"/>
      <c r="VAU183" s="21"/>
      <c r="VAV183" s="21"/>
      <c r="VAW183" s="21"/>
      <c r="VAX183" s="21"/>
      <c r="VAY183" s="21"/>
      <c r="VAZ183" s="21"/>
      <c r="VBA183" s="21"/>
      <c r="VBB183" s="21"/>
      <c r="VBC183" s="21"/>
      <c r="VBD183" s="21"/>
      <c r="VBE183" s="21"/>
      <c r="VBF183" s="21"/>
      <c r="VBG183" s="21"/>
      <c r="VBH183" s="21"/>
      <c r="VBI183" s="21"/>
      <c r="VBJ183" s="21"/>
      <c r="VBK183" s="21"/>
      <c r="VBL183" s="21"/>
      <c r="VBM183" s="21"/>
      <c r="VBN183" s="21"/>
      <c r="VBO183" s="21"/>
      <c r="VBP183" s="21"/>
      <c r="VBQ183" s="21"/>
      <c r="VBR183" s="21"/>
      <c r="VBS183" s="21"/>
      <c r="VBT183" s="21"/>
      <c r="VBU183" s="21"/>
      <c r="VBV183" s="21"/>
      <c r="VBW183" s="21"/>
      <c r="VBX183" s="21"/>
      <c r="VBY183" s="21"/>
      <c r="VBZ183" s="21"/>
      <c r="VCA183" s="21"/>
      <c r="VCB183" s="21"/>
      <c r="VCC183" s="21"/>
      <c r="VCD183" s="21"/>
      <c r="VCE183" s="21"/>
      <c r="VCF183" s="21"/>
      <c r="VCG183" s="21"/>
      <c r="VCH183" s="21"/>
      <c r="VCI183" s="21"/>
      <c r="VCJ183" s="21"/>
      <c r="VCK183" s="21"/>
      <c r="VCL183" s="21"/>
      <c r="VCM183" s="21"/>
      <c r="VCN183" s="21"/>
      <c r="VCO183" s="21"/>
      <c r="VCP183" s="21"/>
      <c r="VCQ183" s="21"/>
      <c r="VCR183" s="21"/>
      <c r="VCS183" s="21"/>
      <c r="VCT183" s="21"/>
      <c r="VCU183" s="21"/>
      <c r="VCV183" s="21"/>
      <c r="VCW183" s="21"/>
      <c r="VCX183" s="21"/>
      <c r="VCY183" s="21"/>
      <c r="VCZ183" s="21"/>
      <c r="VDA183" s="21"/>
      <c r="VDB183" s="21"/>
      <c r="VDC183" s="21"/>
      <c r="VDD183" s="21"/>
      <c r="VDE183" s="21"/>
      <c r="VDF183" s="21"/>
      <c r="VDG183" s="21"/>
      <c r="VDH183" s="21"/>
      <c r="VDI183" s="21"/>
      <c r="VDJ183" s="21"/>
      <c r="VDK183" s="21"/>
      <c r="VDL183" s="21"/>
      <c r="VDM183" s="21"/>
      <c r="VDN183" s="21"/>
      <c r="VDO183" s="21"/>
      <c r="VDP183" s="21"/>
      <c r="VDQ183" s="21"/>
      <c r="VDR183" s="21"/>
      <c r="VDS183" s="21"/>
      <c r="VDT183" s="21"/>
      <c r="VDU183" s="21"/>
      <c r="VDV183" s="21"/>
      <c r="VDW183" s="21"/>
      <c r="VDX183" s="21"/>
      <c r="VDY183" s="21"/>
      <c r="VDZ183" s="21"/>
      <c r="VEA183" s="21"/>
      <c r="VEB183" s="21"/>
      <c r="VEC183" s="21"/>
      <c r="VED183" s="21"/>
      <c r="VEE183" s="21"/>
      <c r="VEF183" s="21"/>
      <c r="VEG183" s="21"/>
      <c r="VEH183" s="21"/>
      <c r="VEI183" s="21"/>
      <c r="VEJ183" s="21"/>
      <c r="VEK183" s="21"/>
      <c r="VEL183" s="21"/>
      <c r="VEM183" s="21"/>
      <c r="VEN183" s="21"/>
      <c r="VEO183" s="21"/>
      <c r="VEP183" s="21"/>
      <c r="VEQ183" s="21"/>
      <c r="VER183" s="21"/>
      <c r="VES183" s="21"/>
      <c r="VET183" s="21"/>
      <c r="VEU183" s="21"/>
      <c r="VEV183" s="21"/>
      <c r="VEW183" s="21"/>
      <c r="VEX183" s="21"/>
      <c r="VEY183" s="21"/>
      <c r="VEZ183" s="21"/>
      <c r="VFA183" s="21"/>
      <c r="VFB183" s="21"/>
      <c r="VFC183" s="21"/>
      <c r="VFD183" s="21"/>
      <c r="VFE183" s="21"/>
      <c r="VFF183" s="21"/>
      <c r="VFG183" s="21"/>
      <c r="VFH183" s="21"/>
      <c r="VFI183" s="21"/>
      <c r="VFJ183" s="21"/>
      <c r="VFK183" s="21"/>
      <c r="VFL183" s="21"/>
      <c r="VFM183" s="21"/>
      <c r="VFN183" s="21"/>
      <c r="VFO183" s="21"/>
      <c r="VFP183" s="21"/>
      <c r="VFQ183" s="21"/>
      <c r="VFR183" s="21"/>
      <c r="VFS183" s="21"/>
      <c r="VFT183" s="21"/>
      <c r="VFU183" s="21"/>
      <c r="VFV183" s="21"/>
      <c r="VFW183" s="21"/>
      <c r="VFX183" s="21"/>
      <c r="VFY183" s="21"/>
      <c r="VFZ183" s="21"/>
      <c r="VGA183" s="21"/>
      <c r="VGB183" s="21"/>
      <c r="VGC183" s="21"/>
      <c r="VGD183" s="21"/>
      <c r="VGE183" s="21"/>
      <c r="VGF183" s="21"/>
      <c r="VGG183" s="21"/>
      <c r="VGH183" s="21"/>
      <c r="VGI183" s="21"/>
      <c r="VGJ183" s="21"/>
      <c r="VGK183" s="21"/>
      <c r="VGL183" s="21"/>
      <c r="VGM183" s="21"/>
      <c r="VGN183" s="21"/>
      <c r="VGO183" s="21"/>
      <c r="VGP183" s="21"/>
      <c r="VGQ183" s="21"/>
      <c r="VGR183" s="21"/>
      <c r="VGS183" s="21"/>
      <c r="VGT183" s="21"/>
      <c r="VGU183" s="21"/>
      <c r="VGV183" s="21"/>
      <c r="VGW183" s="21"/>
      <c r="VGX183" s="21"/>
      <c r="VGY183" s="21"/>
      <c r="VGZ183" s="21"/>
      <c r="VHA183" s="21"/>
      <c r="VHB183" s="21"/>
      <c r="VHC183" s="21"/>
      <c r="VHD183" s="21"/>
      <c r="VHE183" s="21"/>
      <c r="VHF183" s="21"/>
      <c r="VHG183" s="21"/>
      <c r="VHH183" s="21"/>
      <c r="VHI183" s="21"/>
      <c r="VHJ183" s="21"/>
      <c r="VHK183" s="21"/>
      <c r="VHL183" s="21"/>
      <c r="VHM183" s="21"/>
      <c r="VHN183" s="21"/>
      <c r="VHO183" s="21"/>
      <c r="VHP183" s="21"/>
      <c r="VHQ183" s="21"/>
      <c r="VHR183" s="21"/>
      <c r="VHS183" s="21"/>
      <c r="VHT183" s="21"/>
      <c r="VHU183" s="21"/>
      <c r="VHV183" s="21"/>
      <c r="VHW183" s="21"/>
      <c r="VHX183" s="21"/>
      <c r="VHY183" s="21"/>
      <c r="VHZ183" s="21"/>
      <c r="VIA183" s="21"/>
      <c r="VIB183" s="21"/>
      <c r="VIC183" s="21"/>
      <c r="VID183" s="21"/>
      <c r="VIE183" s="21"/>
      <c r="VIF183" s="21"/>
      <c r="VIG183" s="21"/>
      <c r="VIH183" s="21"/>
      <c r="VII183" s="21"/>
      <c r="VIJ183" s="21"/>
      <c r="VIK183" s="21"/>
      <c r="VIL183" s="21"/>
      <c r="VIM183" s="21"/>
      <c r="VIN183" s="21"/>
      <c r="VIO183" s="21"/>
      <c r="VIP183" s="21"/>
      <c r="VIQ183" s="21"/>
      <c r="VIR183" s="21"/>
      <c r="VIS183" s="21"/>
      <c r="VIT183" s="21"/>
      <c r="VIU183" s="21"/>
      <c r="VIV183" s="21"/>
      <c r="VIW183" s="21"/>
      <c r="VIX183" s="21"/>
      <c r="VIY183" s="21"/>
      <c r="VIZ183" s="21"/>
      <c r="VJA183" s="21"/>
      <c r="VJB183" s="21"/>
      <c r="VJC183" s="21"/>
      <c r="VJD183" s="21"/>
      <c r="VJE183" s="21"/>
      <c r="VJF183" s="21"/>
      <c r="VJG183" s="21"/>
      <c r="VJH183" s="21"/>
      <c r="VJI183" s="21"/>
      <c r="VJJ183" s="21"/>
      <c r="VJK183" s="21"/>
      <c r="VJL183" s="21"/>
      <c r="VJM183" s="21"/>
      <c r="VJN183" s="21"/>
      <c r="VJO183" s="21"/>
      <c r="VJP183" s="21"/>
      <c r="VJQ183" s="21"/>
      <c r="VJR183" s="21"/>
      <c r="VJS183" s="21"/>
      <c r="VJT183" s="21"/>
      <c r="VJU183" s="21"/>
      <c r="VJV183" s="21"/>
      <c r="VJW183" s="21"/>
      <c r="VJX183" s="21"/>
      <c r="VJY183" s="21"/>
      <c r="VJZ183" s="21"/>
      <c r="VKA183" s="21"/>
      <c r="VKB183" s="21"/>
      <c r="VKC183" s="21"/>
      <c r="VKD183" s="21"/>
      <c r="VKE183" s="21"/>
      <c r="VKF183" s="21"/>
      <c r="VKG183" s="21"/>
      <c r="VKH183" s="21"/>
      <c r="VKI183" s="21"/>
      <c r="VKJ183" s="21"/>
      <c r="VKK183" s="21"/>
      <c r="VKL183" s="21"/>
      <c r="VKM183" s="21"/>
      <c r="VKN183" s="21"/>
      <c r="VKO183" s="21"/>
      <c r="VKP183" s="21"/>
      <c r="VKQ183" s="21"/>
      <c r="VKR183" s="21"/>
      <c r="VKS183" s="21"/>
      <c r="VKT183" s="21"/>
      <c r="VKU183" s="21"/>
      <c r="VKV183" s="21"/>
      <c r="VKW183" s="21"/>
      <c r="VKX183" s="21"/>
      <c r="VKY183" s="21"/>
      <c r="VKZ183" s="21"/>
      <c r="VLA183" s="21"/>
      <c r="VLB183" s="21"/>
      <c r="VLC183" s="21"/>
      <c r="VLD183" s="21"/>
      <c r="VLE183" s="21"/>
      <c r="VLF183" s="21"/>
      <c r="VLG183" s="21"/>
      <c r="VLH183" s="21"/>
      <c r="VLI183" s="21"/>
      <c r="VLJ183" s="21"/>
      <c r="VLK183" s="21"/>
      <c r="VLL183" s="21"/>
      <c r="VLM183" s="21"/>
      <c r="VLN183" s="21"/>
      <c r="VLO183" s="21"/>
      <c r="VLP183" s="21"/>
      <c r="VLQ183" s="21"/>
      <c r="VLR183" s="21"/>
      <c r="VLS183" s="21"/>
      <c r="VLT183" s="21"/>
      <c r="VLU183" s="21"/>
      <c r="VLV183" s="21"/>
      <c r="VLW183" s="21"/>
      <c r="VLX183" s="21"/>
      <c r="VLY183" s="21"/>
      <c r="VLZ183" s="21"/>
      <c r="VMA183" s="21"/>
      <c r="VMB183" s="21"/>
      <c r="VMC183" s="21"/>
      <c r="VMD183" s="21"/>
      <c r="VME183" s="21"/>
      <c r="VMF183" s="21"/>
      <c r="VMG183" s="21"/>
      <c r="VMH183" s="21"/>
      <c r="VMI183" s="21"/>
      <c r="VMJ183" s="21"/>
      <c r="VMK183" s="21"/>
      <c r="VML183" s="21"/>
      <c r="VMM183" s="21"/>
      <c r="VMN183" s="21"/>
      <c r="VMO183" s="21"/>
      <c r="VMP183" s="21"/>
      <c r="VMQ183" s="21"/>
      <c r="VMR183" s="21"/>
      <c r="VMS183" s="21"/>
      <c r="VMT183" s="21"/>
      <c r="VMU183" s="21"/>
      <c r="VMV183" s="21"/>
      <c r="VMW183" s="21"/>
      <c r="VMX183" s="21"/>
      <c r="VMY183" s="21"/>
      <c r="VMZ183" s="21"/>
      <c r="VNA183" s="21"/>
      <c r="VNB183" s="21"/>
      <c r="VNC183" s="21"/>
      <c r="VND183" s="21"/>
      <c r="VNE183" s="21"/>
      <c r="VNF183" s="21"/>
      <c r="VNG183" s="21"/>
      <c r="VNH183" s="21"/>
      <c r="VNI183" s="21"/>
      <c r="VNJ183" s="21"/>
      <c r="VNK183" s="21"/>
      <c r="VNL183" s="21"/>
      <c r="VNM183" s="21"/>
      <c r="VNN183" s="21"/>
      <c r="VNO183" s="21"/>
      <c r="VNP183" s="21"/>
      <c r="VNQ183" s="21"/>
      <c r="VNR183" s="21"/>
      <c r="VNS183" s="21"/>
      <c r="VNT183" s="21"/>
      <c r="VNU183" s="21"/>
      <c r="VNV183" s="21"/>
      <c r="VNW183" s="21"/>
      <c r="VNX183" s="21"/>
      <c r="VNY183" s="21"/>
      <c r="VNZ183" s="21"/>
      <c r="VOA183" s="21"/>
      <c r="VOB183" s="21"/>
      <c r="VOC183" s="21"/>
      <c r="VOD183" s="21"/>
      <c r="VOE183" s="21"/>
      <c r="VOF183" s="21"/>
      <c r="VOG183" s="21"/>
      <c r="VOH183" s="21"/>
      <c r="VOI183" s="21"/>
      <c r="VOJ183" s="21"/>
      <c r="VOK183" s="21"/>
      <c r="VOL183" s="21"/>
      <c r="VOM183" s="21"/>
      <c r="VON183" s="21"/>
      <c r="VOO183" s="21"/>
      <c r="VOP183" s="21"/>
      <c r="VOQ183" s="21"/>
      <c r="VOR183" s="21"/>
      <c r="VOS183" s="21"/>
      <c r="VOT183" s="21"/>
      <c r="VOU183" s="21"/>
      <c r="VOV183" s="21"/>
      <c r="VOW183" s="21"/>
      <c r="VOX183" s="21"/>
      <c r="VOY183" s="21"/>
      <c r="VOZ183" s="21"/>
      <c r="VPA183" s="21"/>
      <c r="VPB183" s="21"/>
      <c r="VPC183" s="21"/>
      <c r="VPD183" s="21"/>
      <c r="VPE183" s="21"/>
      <c r="VPF183" s="21"/>
      <c r="VPG183" s="21"/>
      <c r="VPH183" s="21"/>
      <c r="VPI183" s="21"/>
      <c r="VPJ183" s="21"/>
      <c r="VPK183" s="21"/>
      <c r="VPL183" s="21"/>
      <c r="VPM183" s="21"/>
      <c r="VPN183" s="21"/>
      <c r="VPO183" s="21"/>
      <c r="VPP183" s="21"/>
      <c r="VPQ183" s="21"/>
      <c r="VPR183" s="21"/>
      <c r="VPS183" s="21"/>
      <c r="VPT183" s="21"/>
      <c r="VPU183" s="21"/>
      <c r="VPV183" s="21"/>
      <c r="VPW183" s="21"/>
      <c r="VPX183" s="21"/>
      <c r="VPY183" s="21"/>
      <c r="VPZ183" s="21"/>
      <c r="VQA183" s="21"/>
      <c r="VQB183" s="21"/>
      <c r="VQC183" s="21"/>
      <c r="VQD183" s="21"/>
      <c r="VQE183" s="21"/>
      <c r="VQF183" s="21"/>
      <c r="VQG183" s="21"/>
      <c r="VQH183" s="21"/>
      <c r="VQI183" s="21"/>
      <c r="VQJ183" s="21"/>
      <c r="VQK183" s="21"/>
      <c r="VQL183" s="21"/>
      <c r="VQM183" s="21"/>
      <c r="VQN183" s="21"/>
      <c r="VQO183" s="21"/>
      <c r="VQP183" s="21"/>
      <c r="VQQ183" s="21"/>
      <c r="VQR183" s="21"/>
      <c r="VQS183" s="21"/>
      <c r="VQT183" s="21"/>
      <c r="VQU183" s="21"/>
      <c r="VQV183" s="21"/>
      <c r="VQW183" s="21"/>
      <c r="VQX183" s="21"/>
      <c r="VQY183" s="21"/>
      <c r="VQZ183" s="21"/>
      <c r="VRA183" s="21"/>
      <c r="VRB183" s="21"/>
      <c r="VRC183" s="21"/>
      <c r="VRD183" s="21"/>
      <c r="VRE183" s="21"/>
      <c r="VRF183" s="21"/>
      <c r="VRG183" s="21"/>
      <c r="VRH183" s="21"/>
      <c r="VRI183" s="21"/>
      <c r="VRJ183" s="21"/>
      <c r="VRK183" s="21"/>
      <c r="VRL183" s="21"/>
      <c r="VRM183" s="21"/>
      <c r="VRN183" s="21"/>
      <c r="VRO183" s="21"/>
      <c r="VRP183" s="21"/>
      <c r="VRQ183" s="21"/>
      <c r="VRR183" s="21"/>
      <c r="VRS183" s="21"/>
      <c r="VRT183" s="21"/>
      <c r="VRU183" s="21"/>
      <c r="VRV183" s="21"/>
      <c r="VRW183" s="21"/>
      <c r="VRX183" s="21"/>
      <c r="VRY183" s="21"/>
      <c r="VRZ183" s="21"/>
      <c r="VSA183" s="21"/>
      <c r="VSB183" s="21"/>
      <c r="VSC183" s="21"/>
      <c r="VSD183" s="21"/>
      <c r="VSE183" s="21"/>
      <c r="VSF183" s="21"/>
      <c r="VSG183" s="21"/>
      <c r="VSH183" s="21"/>
      <c r="VSI183" s="21"/>
      <c r="VSJ183" s="21"/>
      <c r="VSK183" s="21"/>
      <c r="VSL183" s="21"/>
      <c r="VSM183" s="21"/>
      <c r="VSN183" s="21"/>
      <c r="VSO183" s="21"/>
      <c r="VSP183" s="21"/>
      <c r="VSQ183" s="21"/>
      <c r="VSR183" s="21"/>
      <c r="VSS183" s="21"/>
      <c r="VST183" s="21"/>
      <c r="VSU183" s="21"/>
      <c r="VSV183" s="21"/>
      <c r="VSW183" s="21"/>
      <c r="VSX183" s="21"/>
      <c r="VSY183" s="21"/>
      <c r="VSZ183" s="21"/>
      <c r="VTA183" s="21"/>
      <c r="VTB183" s="21"/>
      <c r="VTC183" s="21"/>
      <c r="VTD183" s="21"/>
      <c r="VTE183" s="21"/>
      <c r="VTF183" s="21"/>
      <c r="VTG183" s="21"/>
      <c r="VTH183" s="21"/>
      <c r="VTI183" s="21"/>
      <c r="VTJ183" s="21"/>
      <c r="VTK183" s="21"/>
      <c r="VTL183" s="21"/>
      <c r="VTM183" s="21"/>
      <c r="VTN183" s="21"/>
      <c r="VTO183" s="21"/>
      <c r="VTP183" s="21"/>
      <c r="VTQ183" s="21"/>
      <c r="VTR183" s="21"/>
      <c r="VTS183" s="21"/>
      <c r="VTT183" s="21"/>
      <c r="VTU183" s="21"/>
      <c r="VTV183" s="21"/>
      <c r="VTW183" s="21"/>
      <c r="VTX183" s="21"/>
      <c r="VTY183" s="21"/>
      <c r="VTZ183" s="21"/>
      <c r="VUA183" s="21"/>
      <c r="VUB183" s="21"/>
      <c r="VUC183" s="21"/>
      <c r="VUD183" s="21"/>
      <c r="VUE183" s="21"/>
      <c r="VUF183" s="21"/>
      <c r="VUG183" s="21"/>
      <c r="VUH183" s="21"/>
      <c r="VUI183" s="21"/>
      <c r="VUJ183" s="21"/>
      <c r="VUK183" s="21"/>
      <c r="VUL183" s="21"/>
      <c r="VUM183" s="21"/>
      <c r="VUN183" s="21"/>
      <c r="VUO183" s="21"/>
      <c r="VUP183" s="21"/>
      <c r="VUQ183" s="21"/>
      <c r="VUR183" s="21"/>
      <c r="VUS183" s="21"/>
      <c r="VUT183" s="21"/>
      <c r="VUU183" s="21"/>
      <c r="VUV183" s="21"/>
      <c r="VUW183" s="21"/>
      <c r="VUX183" s="21"/>
      <c r="VUY183" s="21"/>
      <c r="VUZ183" s="21"/>
      <c r="VVA183" s="21"/>
      <c r="VVB183" s="21"/>
      <c r="VVC183" s="21"/>
      <c r="VVD183" s="21"/>
      <c r="VVE183" s="21"/>
      <c r="VVF183" s="21"/>
      <c r="VVG183" s="21"/>
      <c r="VVH183" s="21"/>
      <c r="VVI183" s="21"/>
      <c r="VVJ183" s="21"/>
      <c r="VVK183" s="21"/>
      <c r="VVL183" s="21"/>
      <c r="VVM183" s="21"/>
      <c r="VVN183" s="21"/>
      <c r="VVO183" s="21"/>
      <c r="VVP183" s="21"/>
      <c r="VVQ183" s="21"/>
      <c r="VVR183" s="21"/>
      <c r="VVS183" s="21"/>
      <c r="VVT183" s="21"/>
      <c r="VVU183" s="21"/>
      <c r="VVV183" s="21"/>
      <c r="VVW183" s="21"/>
      <c r="VVX183" s="21"/>
      <c r="VVY183" s="21"/>
      <c r="VVZ183" s="21"/>
      <c r="VWA183" s="21"/>
      <c r="VWB183" s="21"/>
      <c r="VWC183" s="21"/>
      <c r="VWD183" s="21"/>
      <c r="VWE183" s="21"/>
      <c r="VWF183" s="21"/>
      <c r="VWG183" s="21"/>
      <c r="VWH183" s="21"/>
      <c r="VWI183" s="21"/>
      <c r="VWJ183" s="21"/>
      <c r="VWK183" s="21"/>
      <c r="VWL183" s="21"/>
      <c r="VWM183" s="21"/>
      <c r="VWN183" s="21"/>
      <c r="VWO183" s="21"/>
      <c r="VWP183" s="21"/>
      <c r="VWQ183" s="21"/>
      <c r="VWR183" s="21"/>
      <c r="VWS183" s="21"/>
      <c r="VWT183" s="21"/>
      <c r="VWU183" s="21"/>
      <c r="VWV183" s="21"/>
      <c r="VWW183" s="21"/>
      <c r="VWX183" s="21"/>
      <c r="VWY183" s="21"/>
      <c r="VWZ183" s="21"/>
      <c r="VXA183" s="21"/>
      <c r="VXB183" s="21"/>
      <c r="VXC183" s="21"/>
      <c r="VXD183" s="21"/>
      <c r="VXE183" s="21"/>
      <c r="VXF183" s="21"/>
      <c r="VXG183" s="21"/>
      <c r="VXH183" s="21"/>
      <c r="VXI183" s="21"/>
      <c r="VXJ183" s="21"/>
      <c r="VXK183" s="21"/>
      <c r="VXL183" s="21"/>
      <c r="VXM183" s="21"/>
      <c r="VXN183" s="21"/>
      <c r="VXO183" s="21"/>
      <c r="VXP183" s="21"/>
      <c r="VXQ183" s="21"/>
      <c r="VXR183" s="21"/>
      <c r="VXS183" s="21"/>
      <c r="VXT183" s="21"/>
      <c r="VXU183" s="21"/>
      <c r="VXV183" s="21"/>
      <c r="VXW183" s="21"/>
      <c r="VXX183" s="21"/>
      <c r="VXY183" s="21"/>
      <c r="VXZ183" s="21"/>
      <c r="VYA183" s="21"/>
      <c r="VYB183" s="21"/>
      <c r="VYC183" s="21"/>
      <c r="VYD183" s="21"/>
      <c r="VYE183" s="21"/>
      <c r="VYF183" s="21"/>
      <c r="VYG183" s="21"/>
      <c r="VYH183" s="21"/>
      <c r="VYI183" s="21"/>
      <c r="VYJ183" s="21"/>
      <c r="VYK183" s="21"/>
      <c r="VYL183" s="21"/>
      <c r="VYM183" s="21"/>
      <c r="VYN183" s="21"/>
      <c r="VYO183" s="21"/>
      <c r="VYP183" s="21"/>
      <c r="VYQ183" s="21"/>
      <c r="VYR183" s="21"/>
      <c r="VYS183" s="21"/>
      <c r="VYT183" s="21"/>
      <c r="VYU183" s="21"/>
      <c r="VYV183" s="21"/>
      <c r="VYW183" s="21"/>
      <c r="VYX183" s="21"/>
      <c r="VYY183" s="21"/>
      <c r="VYZ183" s="21"/>
      <c r="VZA183" s="21"/>
      <c r="VZB183" s="21"/>
      <c r="VZC183" s="21"/>
      <c r="VZD183" s="21"/>
      <c r="VZE183" s="21"/>
      <c r="VZF183" s="21"/>
      <c r="VZG183" s="21"/>
      <c r="VZH183" s="21"/>
      <c r="VZI183" s="21"/>
      <c r="VZJ183" s="21"/>
      <c r="VZK183" s="21"/>
      <c r="VZL183" s="21"/>
      <c r="VZM183" s="21"/>
      <c r="VZN183" s="21"/>
      <c r="VZO183" s="21"/>
      <c r="VZP183" s="21"/>
      <c r="VZQ183" s="21"/>
      <c r="VZR183" s="21"/>
      <c r="VZS183" s="21"/>
      <c r="VZT183" s="21"/>
      <c r="VZU183" s="21"/>
      <c r="VZV183" s="21"/>
      <c r="VZW183" s="21"/>
      <c r="VZX183" s="21"/>
      <c r="VZY183" s="21"/>
      <c r="VZZ183" s="21"/>
      <c r="WAA183" s="21"/>
      <c r="WAB183" s="21"/>
      <c r="WAC183" s="21"/>
      <c r="WAD183" s="21"/>
      <c r="WAE183" s="21"/>
      <c r="WAF183" s="21"/>
      <c r="WAG183" s="21"/>
      <c r="WAH183" s="21"/>
      <c r="WAI183" s="21"/>
      <c r="WAJ183" s="21"/>
      <c r="WAK183" s="21"/>
      <c r="WAL183" s="21"/>
      <c r="WAM183" s="21"/>
      <c r="WAN183" s="21"/>
      <c r="WAO183" s="21"/>
      <c r="WAP183" s="21"/>
      <c r="WAQ183" s="21"/>
      <c r="WAR183" s="21"/>
      <c r="WAS183" s="21"/>
      <c r="WAT183" s="21"/>
      <c r="WAU183" s="21"/>
      <c r="WAV183" s="21"/>
      <c r="WAW183" s="21"/>
      <c r="WAX183" s="21"/>
      <c r="WAY183" s="21"/>
      <c r="WAZ183" s="21"/>
      <c r="WBA183" s="21"/>
      <c r="WBB183" s="21"/>
      <c r="WBC183" s="21"/>
      <c r="WBD183" s="21"/>
      <c r="WBE183" s="21"/>
      <c r="WBF183" s="21"/>
      <c r="WBG183" s="21"/>
      <c r="WBH183" s="21"/>
      <c r="WBI183" s="21"/>
      <c r="WBJ183" s="21"/>
      <c r="WBK183" s="21"/>
      <c r="WBL183" s="21"/>
      <c r="WBM183" s="21"/>
      <c r="WBN183" s="21"/>
      <c r="WBO183" s="21"/>
      <c r="WBP183" s="21"/>
      <c r="WBQ183" s="21"/>
      <c r="WBR183" s="21"/>
      <c r="WBS183" s="21"/>
      <c r="WBT183" s="21"/>
      <c r="WBU183" s="21"/>
      <c r="WBV183" s="21"/>
      <c r="WBW183" s="21"/>
      <c r="WBX183" s="21"/>
      <c r="WBY183" s="21"/>
      <c r="WBZ183" s="21"/>
      <c r="WCA183" s="21"/>
      <c r="WCB183" s="21"/>
      <c r="WCC183" s="21"/>
      <c r="WCD183" s="21"/>
      <c r="WCE183" s="21"/>
      <c r="WCF183" s="21"/>
      <c r="WCG183" s="21"/>
      <c r="WCH183" s="21"/>
      <c r="WCI183" s="21"/>
      <c r="WCJ183" s="21"/>
      <c r="WCK183" s="21"/>
      <c r="WCL183" s="21"/>
      <c r="WCM183" s="21"/>
      <c r="WCN183" s="21"/>
      <c r="WCO183" s="21"/>
      <c r="WCP183" s="21"/>
      <c r="WCQ183" s="21"/>
      <c r="WCR183" s="21"/>
      <c r="WCS183" s="21"/>
      <c r="WCT183" s="21"/>
      <c r="WCU183" s="21"/>
      <c r="WCV183" s="21"/>
      <c r="WCW183" s="21"/>
      <c r="WCX183" s="21"/>
      <c r="WCY183" s="21"/>
      <c r="WCZ183" s="21"/>
      <c r="WDA183" s="21"/>
      <c r="WDB183" s="21"/>
      <c r="WDC183" s="21"/>
      <c r="WDD183" s="21"/>
      <c r="WDE183" s="21"/>
      <c r="WDF183" s="21"/>
      <c r="WDG183" s="21"/>
      <c r="WDH183" s="21"/>
      <c r="WDI183" s="21"/>
      <c r="WDJ183" s="21"/>
      <c r="WDK183" s="21"/>
      <c r="WDL183" s="21"/>
      <c r="WDM183" s="21"/>
      <c r="WDN183" s="21"/>
      <c r="WDO183" s="21"/>
      <c r="WDP183" s="21"/>
      <c r="WDQ183" s="21"/>
      <c r="WDR183" s="21"/>
      <c r="WDS183" s="21"/>
      <c r="WDT183" s="21"/>
      <c r="WDU183" s="21"/>
      <c r="WDV183" s="21"/>
      <c r="WDW183" s="21"/>
      <c r="WDX183" s="21"/>
      <c r="WDY183" s="21"/>
      <c r="WDZ183" s="21"/>
      <c r="WEA183" s="21"/>
      <c r="WEB183" s="21"/>
      <c r="WEC183" s="21"/>
      <c r="WED183" s="21"/>
      <c r="WEE183" s="21"/>
      <c r="WEF183" s="21"/>
      <c r="WEG183" s="21"/>
      <c r="WEH183" s="21"/>
      <c r="WEI183" s="21"/>
      <c r="WEJ183" s="21"/>
      <c r="WEK183" s="21"/>
      <c r="WEL183" s="21"/>
      <c r="WEM183" s="21"/>
      <c r="WEN183" s="21"/>
      <c r="WEO183" s="21"/>
      <c r="WEP183" s="21"/>
      <c r="WEQ183" s="21"/>
      <c r="WER183" s="21"/>
      <c r="WES183" s="21"/>
      <c r="WET183" s="21"/>
      <c r="WEU183" s="21"/>
      <c r="WEV183" s="21"/>
      <c r="WEW183" s="21"/>
      <c r="WEX183" s="21"/>
      <c r="WEY183" s="21"/>
      <c r="WEZ183" s="21"/>
      <c r="WFA183" s="21"/>
      <c r="WFB183" s="21"/>
      <c r="WFC183" s="21"/>
      <c r="WFD183" s="21"/>
      <c r="WFE183" s="21"/>
      <c r="WFF183" s="21"/>
      <c r="WFG183" s="21"/>
      <c r="WFH183" s="21"/>
      <c r="WFI183" s="21"/>
      <c r="WFJ183" s="21"/>
      <c r="WFK183" s="21"/>
      <c r="WFL183" s="21"/>
      <c r="WFM183" s="21"/>
      <c r="WFN183" s="21"/>
      <c r="WFO183" s="21"/>
      <c r="WFP183" s="21"/>
      <c r="WFQ183" s="21"/>
      <c r="WFR183" s="21"/>
      <c r="WFS183" s="21"/>
      <c r="WFT183" s="21"/>
      <c r="WFU183" s="21"/>
      <c r="WFV183" s="21"/>
      <c r="WFW183" s="21"/>
      <c r="WFX183" s="21"/>
      <c r="WFY183" s="21"/>
      <c r="WFZ183" s="21"/>
      <c r="WGA183" s="21"/>
      <c r="WGB183" s="21"/>
      <c r="WGC183" s="21"/>
      <c r="WGD183" s="21"/>
      <c r="WGE183" s="21"/>
      <c r="WGF183" s="21"/>
      <c r="WGG183" s="21"/>
      <c r="WGH183" s="21"/>
      <c r="WGI183" s="21"/>
      <c r="WGJ183" s="21"/>
      <c r="WGK183" s="21"/>
      <c r="WGL183" s="21"/>
      <c r="WGM183" s="21"/>
      <c r="WGN183" s="21"/>
      <c r="WGO183" s="21"/>
      <c r="WGP183" s="21"/>
      <c r="WGQ183" s="21"/>
      <c r="WGR183" s="21"/>
      <c r="WGS183" s="21"/>
      <c r="WGT183" s="21"/>
      <c r="WGU183" s="21"/>
      <c r="WGV183" s="21"/>
      <c r="WGW183" s="21"/>
      <c r="WGX183" s="21"/>
      <c r="WGY183" s="21"/>
      <c r="WGZ183" s="21"/>
      <c r="WHA183" s="21"/>
      <c r="WHB183" s="21"/>
      <c r="WHC183" s="21"/>
      <c r="WHD183" s="21"/>
      <c r="WHE183" s="21"/>
      <c r="WHF183" s="21"/>
      <c r="WHG183" s="21"/>
      <c r="WHH183" s="21"/>
      <c r="WHI183" s="21"/>
      <c r="WHJ183" s="21"/>
      <c r="WHK183" s="21"/>
      <c r="WHL183" s="21"/>
      <c r="WHM183" s="21"/>
      <c r="WHN183" s="21"/>
      <c r="WHO183" s="21"/>
      <c r="WHP183" s="21"/>
      <c r="WHQ183" s="21"/>
      <c r="WHR183" s="21"/>
      <c r="WHS183" s="21"/>
      <c r="WHT183" s="21"/>
      <c r="WHU183" s="21"/>
      <c r="WHV183" s="21"/>
      <c r="WHW183" s="21"/>
      <c r="WHX183" s="21"/>
      <c r="WHY183" s="21"/>
      <c r="WHZ183" s="21"/>
      <c r="WIA183" s="21"/>
      <c r="WIB183" s="21"/>
      <c r="WIC183" s="21"/>
      <c r="WID183" s="21"/>
      <c r="WIE183" s="21"/>
      <c r="WIF183" s="21"/>
      <c r="WIG183" s="21"/>
      <c r="WIH183" s="21"/>
      <c r="WII183" s="21"/>
      <c r="WIJ183" s="21"/>
      <c r="WIK183" s="21"/>
      <c r="WIL183" s="21"/>
      <c r="WIM183" s="21"/>
      <c r="WIN183" s="21"/>
      <c r="WIO183" s="21"/>
      <c r="WIP183" s="21"/>
      <c r="WIQ183" s="21"/>
      <c r="WIR183" s="21"/>
      <c r="WIS183" s="21"/>
      <c r="WIT183" s="21"/>
      <c r="WIU183" s="21"/>
      <c r="WIV183" s="21"/>
      <c r="WIW183" s="21"/>
      <c r="WIX183" s="21"/>
      <c r="WIY183" s="21"/>
      <c r="WIZ183" s="21"/>
      <c r="WJA183" s="21"/>
      <c r="WJB183" s="21"/>
      <c r="WJC183" s="21"/>
      <c r="WJD183" s="21"/>
      <c r="WJE183" s="21"/>
      <c r="WJF183" s="21"/>
      <c r="WJG183" s="21"/>
      <c r="WJH183" s="21"/>
      <c r="WJI183" s="21"/>
      <c r="WJJ183" s="21"/>
      <c r="WJK183" s="21"/>
      <c r="WJL183" s="21"/>
      <c r="WJM183" s="21"/>
      <c r="WJN183" s="21"/>
      <c r="WJO183" s="21"/>
      <c r="WJP183" s="21"/>
      <c r="WJQ183" s="21"/>
      <c r="WJR183" s="21"/>
      <c r="WJS183" s="21"/>
      <c r="WJT183" s="21"/>
      <c r="WJU183" s="21"/>
      <c r="WJV183" s="21"/>
      <c r="WJW183" s="21"/>
      <c r="WJX183" s="21"/>
      <c r="WJY183" s="21"/>
      <c r="WJZ183" s="21"/>
      <c r="WKA183" s="21"/>
      <c r="WKB183" s="21"/>
      <c r="WKC183" s="21"/>
      <c r="WKD183" s="21"/>
      <c r="WKE183" s="21"/>
      <c r="WKF183" s="21"/>
      <c r="WKG183" s="21"/>
      <c r="WKH183" s="21"/>
      <c r="WKI183" s="21"/>
      <c r="WKJ183" s="21"/>
      <c r="WKK183" s="21"/>
      <c r="WKL183" s="21"/>
      <c r="WKM183" s="21"/>
      <c r="WKN183" s="21"/>
      <c r="WKO183" s="21"/>
      <c r="WKP183" s="21"/>
      <c r="WKQ183" s="21"/>
      <c r="WKR183" s="21"/>
      <c r="WKS183" s="21"/>
      <c r="WKT183" s="21"/>
      <c r="WKU183" s="21"/>
      <c r="WKV183" s="21"/>
      <c r="WKW183" s="21"/>
      <c r="WKX183" s="21"/>
      <c r="WKY183" s="21"/>
      <c r="WKZ183" s="21"/>
      <c r="WLA183" s="21"/>
      <c r="WLB183" s="21"/>
      <c r="WLC183" s="21"/>
      <c r="WLD183" s="21"/>
      <c r="WLE183" s="21"/>
      <c r="WLF183" s="21"/>
      <c r="WLG183" s="21"/>
      <c r="WLH183" s="21"/>
      <c r="WLI183" s="21"/>
      <c r="WLJ183" s="21"/>
      <c r="WLK183" s="21"/>
      <c r="WLL183" s="21"/>
      <c r="WLM183" s="21"/>
      <c r="WLN183" s="21"/>
      <c r="WLO183" s="21"/>
      <c r="WLP183" s="21"/>
      <c r="WLQ183" s="21"/>
      <c r="WLR183" s="21"/>
      <c r="WLS183" s="21"/>
      <c r="WLT183" s="21"/>
      <c r="WLU183" s="21"/>
      <c r="WLV183" s="21"/>
      <c r="WLW183" s="21"/>
      <c r="WLX183" s="21"/>
      <c r="WLY183" s="21"/>
      <c r="WLZ183" s="21"/>
      <c r="WMA183" s="21"/>
      <c r="WMB183" s="21"/>
      <c r="WMC183" s="21"/>
      <c r="WMD183" s="21"/>
      <c r="WME183" s="21"/>
      <c r="WMF183" s="21"/>
      <c r="WMG183" s="21"/>
      <c r="WMH183" s="21"/>
      <c r="WMI183" s="21"/>
      <c r="WMJ183" s="21"/>
      <c r="WMK183" s="21"/>
      <c r="WML183" s="21"/>
      <c r="WMM183" s="21"/>
      <c r="WMN183" s="21"/>
      <c r="WMO183" s="21"/>
      <c r="WMP183" s="21"/>
      <c r="WMQ183" s="21"/>
      <c r="WMR183" s="21"/>
      <c r="WMS183" s="21"/>
      <c r="WMT183" s="21"/>
      <c r="WMU183" s="21"/>
      <c r="WMV183" s="21"/>
      <c r="WMW183" s="21"/>
      <c r="WMX183" s="21"/>
      <c r="WMY183" s="21"/>
      <c r="WMZ183" s="21"/>
      <c r="WNA183" s="21"/>
      <c r="WNB183" s="21"/>
      <c r="WNC183" s="21"/>
      <c r="WND183" s="21"/>
      <c r="WNE183" s="21"/>
      <c r="WNF183" s="21"/>
      <c r="WNG183" s="21"/>
      <c r="WNH183" s="21"/>
      <c r="WNI183" s="21"/>
      <c r="WNJ183" s="21"/>
      <c r="WNK183" s="21"/>
      <c r="WNL183" s="21"/>
      <c r="WNM183" s="21"/>
      <c r="WNN183" s="21"/>
      <c r="WNO183" s="21"/>
      <c r="WNP183" s="21"/>
      <c r="WNQ183" s="21"/>
      <c r="WNR183" s="21"/>
      <c r="WNS183" s="21"/>
      <c r="WNT183" s="21"/>
      <c r="WNU183" s="21"/>
      <c r="WNV183" s="21"/>
      <c r="WNW183" s="21"/>
      <c r="WNX183" s="21"/>
      <c r="WNY183" s="21"/>
      <c r="WNZ183" s="21"/>
      <c r="WOA183" s="21"/>
      <c r="WOB183" s="21"/>
      <c r="WOC183" s="21"/>
      <c r="WOD183" s="21"/>
      <c r="WOE183" s="21"/>
      <c r="WOF183" s="21"/>
      <c r="WOG183" s="21"/>
      <c r="WOH183" s="21"/>
      <c r="WOI183" s="21"/>
      <c r="WOJ183" s="21"/>
      <c r="WOK183" s="21"/>
      <c r="WOL183" s="21"/>
      <c r="WOM183" s="21"/>
      <c r="WON183" s="21"/>
      <c r="WOO183" s="21"/>
      <c r="WOP183" s="21"/>
      <c r="WOQ183" s="21"/>
      <c r="WOR183" s="21"/>
      <c r="WOS183" s="21"/>
      <c r="WOT183" s="21"/>
      <c r="WOU183" s="21"/>
      <c r="WOV183" s="21"/>
      <c r="WOW183" s="21"/>
      <c r="WOX183" s="21"/>
      <c r="WOY183" s="21"/>
      <c r="WOZ183" s="21"/>
      <c r="WPA183" s="21"/>
      <c r="WPB183" s="21"/>
      <c r="WPC183" s="21"/>
      <c r="WPD183" s="21"/>
      <c r="WPE183" s="21"/>
      <c r="WPF183" s="21"/>
      <c r="WPG183" s="21"/>
      <c r="WPH183" s="21"/>
      <c r="WPI183" s="21"/>
      <c r="WPJ183" s="21"/>
      <c r="WPK183" s="21"/>
      <c r="WPL183" s="21"/>
      <c r="WPM183" s="21"/>
      <c r="WPN183" s="21"/>
      <c r="WPO183" s="21"/>
      <c r="WPP183" s="21"/>
      <c r="WPQ183" s="21"/>
      <c r="WPR183" s="21"/>
      <c r="WPS183" s="21"/>
      <c r="WPT183" s="21"/>
      <c r="WPU183" s="21"/>
      <c r="WPV183" s="21"/>
      <c r="WPW183" s="21"/>
      <c r="WPX183" s="21"/>
      <c r="WPY183" s="21"/>
      <c r="WPZ183" s="21"/>
      <c r="WQA183" s="21"/>
      <c r="WQB183" s="21"/>
      <c r="WQC183" s="21"/>
      <c r="WQD183" s="21"/>
      <c r="WQE183" s="21"/>
      <c r="WQF183" s="21"/>
      <c r="WQG183" s="21"/>
      <c r="WQH183" s="21"/>
      <c r="WQI183" s="21"/>
      <c r="WQJ183" s="21"/>
      <c r="WQK183" s="21"/>
      <c r="WQL183" s="21"/>
      <c r="WQM183" s="21"/>
      <c r="WQN183" s="21"/>
      <c r="WQO183" s="21"/>
      <c r="WQP183" s="21"/>
      <c r="WQQ183" s="21"/>
      <c r="WQR183" s="21"/>
      <c r="WQS183" s="21"/>
      <c r="WQT183" s="21"/>
      <c r="WQU183" s="21"/>
      <c r="WQV183" s="21"/>
      <c r="WQW183" s="21"/>
      <c r="WQX183" s="21"/>
      <c r="WQY183" s="21"/>
      <c r="WQZ183" s="21"/>
      <c r="WRA183" s="21"/>
      <c r="WRB183" s="21"/>
      <c r="WRC183" s="21"/>
      <c r="WRD183" s="21"/>
      <c r="WRE183" s="21"/>
      <c r="WRF183" s="21"/>
      <c r="WRG183" s="21"/>
      <c r="WRH183" s="21"/>
      <c r="WRI183" s="21"/>
      <c r="WRJ183" s="21"/>
      <c r="WRK183" s="21"/>
      <c r="WRL183" s="21"/>
      <c r="WRM183" s="21"/>
      <c r="WRN183" s="21"/>
      <c r="WRO183" s="21"/>
      <c r="WRP183" s="21"/>
      <c r="WRQ183" s="21"/>
      <c r="WRR183" s="21"/>
      <c r="WRS183" s="21"/>
      <c r="WRT183" s="21"/>
      <c r="WRU183" s="21"/>
      <c r="WRV183" s="21"/>
      <c r="WRW183" s="21"/>
      <c r="WRX183" s="21"/>
      <c r="WRY183" s="21"/>
      <c r="WRZ183" s="21"/>
      <c r="WSA183" s="21"/>
      <c r="WSB183" s="21"/>
      <c r="WSC183" s="21"/>
      <c r="WSD183" s="21"/>
      <c r="WSE183" s="21"/>
      <c r="WSF183" s="21"/>
      <c r="WSG183" s="21"/>
      <c r="WSH183" s="21"/>
      <c r="WSI183" s="21"/>
      <c r="WSJ183" s="21"/>
      <c r="WSK183" s="21"/>
      <c r="WSL183" s="21"/>
      <c r="WSM183" s="21"/>
      <c r="WSN183" s="21"/>
      <c r="WSO183" s="21"/>
      <c r="WSP183" s="21"/>
      <c r="WSQ183" s="21"/>
      <c r="WSR183" s="21"/>
      <c r="WSS183" s="21"/>
      <c r="WST183" s="21"/>
      <c r="WSU183" s="21"/>
      <c r="WSV183" s="21"/>
      <c r="WSW183" s="21"/>
      <c r="WSX183" s="21"/>
      <c r="WSY183" s="21"/>
      <c r="WSZ183" s="21"/>
      <c r="WTA183" s="21"/>
      <c r="WTB183" s="21"/>
      <c r="WTC183" s="21"/>
      <c r="WTD183" s="21"/>
      <c r="WTE183" s="21"/>
      <c r="WTF183" s="21"/>
      <c r="WTG183" s="21"/>
      <c r="WTH183" s="21"/>
      <c r="WTI183" s="21"/>
      <c r="WTJ183" s="21"/>
      <c r="WTK183" s="21"/>
      <c r="WTL183" s="21"/>
      <c r="WTM183" s="21"/>
      <c r="WTN183" s="21"/>
      <c r="WTO183" s="21"/>
      <c r="WTP183" s="21"/>
      <c r="WTQ183" s="21"/>
      <c r="WTR183" s="21"/>
      <c r="WTS183" s="21"/>
      <c r="WTT183" s="21"/>
      <c r="WTU183" s="21"/>
      <c r="WTV183" s="21"/>
      <c r="WTW183" s="21"/>
      <c r="WTX183" s="21"/>
      <c r="WTY183" s="21"/>
      <c r="WTZ183" s="21"/>
      <c r="WUA183" s="21"/>
      <c r="WUB183" s="21"/>
      <c r="WUC183" s="21"/>
      <c r="WUD183" s="21"/>
      <c r="WUE183" s="21"/>
      <c r="WUF183" s="21"/>
      <c r="WUG183" s="21"/>
      <c r="WUH183" s="21"/>
      <c r="WUI183" s="21"/>
      <c r="WUJ183" s="21"/>
      <c r="WUK183" s="21"/>
      <c r="WUL183" s="21"/>
      <c r="WUM183" s="21"/>
      <c r="WUN183" s="21"/>
      <c r="WUO183" s="21"/>
      <c r="WUP183" s="21"/>
      <c r="WUQ183" s="21"/>
      <c r="WUR183" s="21"/>
      <c r="WUS183" s="21"/>
      <c r="WUT183" s="21"/>
      <c r="WUU183" s="21"/>
      <c r="WUV183" s="21"/>
      <c r="WUW183" s="21"/>
      <c r="WUX183" s="21"/>
      <c r="WUY183" s="21"/>
      <c r="WUZ183" s="21"/>
      <c r="WVA183" s="21"/>
      <c r="WVB183" s="21"/>
      <c r="WVC183" s="21"/>
      <c r="WVD183" s="21"/>
      <c r="WVE183" s="21"/>
      <c r="WVF183" s="21"/>
      <c r="WVG183" s="21"/>
      <c r="WVH183" s="21"/>
      <c r="WVI183" s="21"/>
      <c r="WVJ183" s="21"/>
      <c r="WVK183" s="21"/>
      <c r="WVL183" s="21"/>
      <c r="WVM183" s="21"/>
      <c r="WVN183" s="21"/>
      <c r="WVO183" s="21"/>
      <c r="WVP183" s="21"/>
      <c r="WVQ183" s="21"/>
      <c r="WVR183" s="21"/>
      <c r="WVS183" s="21"/>
      <c r="WVT183" s="21"/>
      <c r="WVU183" s="21"/>
      <c r="WVV183" s="21"/>
      <c r="WVW183" s="21"/>
      <c r="WVX183" s="21"/>
      <c r="WVY183" s="21"/>
      <c r="WVZ183" s="21"/>
      <c r="WWA183" s="21"/>
      <c r="WWB183" s="21"/>
      <c r="WWC183" s="21"/>
      <c r="WWD183" s="21"/>
      <c r="WWE183" s="21"/>
      <c r="WWF183" s="21"/>
      <c r="WWG183" s="21"/>
      <c r="WWH183" s="21"/>
      <c r="WWI183" s="21"/>
      <c r="WWJ183" s="21"/>
      <c r="WWK183" s="21"/>
      <c r="WWL183" s="21"/>
      <c r="WWM183" s="21"/>
      <c r="WWN183" s="21"/>
      <c r="WWO183" s="21"/>
      <c r="WWP183" s="21"/>
      <c r="WWQ183" s="21"/>
      <c r="WWR183" s="21"/>
      <c r="WWS183" s="21"/>
      <c r="WWT183" s="21"/>
      <c r="WWU183" s="21"/>
      <c r="WWV183" s="21"/>
      <c r="WWW183" s="21"/>
      <c r="WWX183" s="21"/>
      <c r="WWY183" s="21"/>
      <c r="WWZ183" s="21"/>
      <c r="WXA183" s="21"/>
      <c r="WXB183" s="21"/>
      <c r="WXC183" s="21"/>
      <c r="WXD183" s="21"/>
      <c r="WXE183" s="21"/>
      <c r="WXF183" s="21"/>
      <c r="WXG183" s="21"/>
      <c r="WXH183" s="21"/>
      <c r="WXI183" s="21"/>
      <c r="WXJ183" s="21"/>
      <c r="WXK183" s="21"/>
      <c r="WXL183" s="21"/>
      <c r="WXM183" s="21"/>
      <c r="WXN183" s="21"/>
      <c r="WXO183" s="21"/>
      <c r="WXP183" s="21"/>
      <c r="WXQ183" s="21"/>
      <c r="WXR183" s="21"/>
      <c r="WXS183" s="21"/>
      <c r="WXT183" s="21"/>
      <c r="WXU183" s="21"/>
      <c r="WXV183" s="21"/>
      <c r="WXW183" s="21"/>
      <c r="WXX183" s="21"/>
      <c r="WXY183" s="21"/>
      <c r="WXZ183" s="21"/>
      <c r="WYA183" s="21"/>
      <c r="WYB183" s="21"/>
      <c r="WYC183" s="21"/>
      <c r="WYD183" s="21"/>
      <c r="WYE183" s="21"/>
      <c r="WYF183" s="21"/>
      <c r="WYG183" s="21"/>
      <c r="WYH183" s="21"/>
      <c r="WYI183" s="21"/>
      <c r="WYJ183" s="21"/>
      <c r="WYK183" s="21"/>
      <c r="WYL183" s="21"/>
      <c r="WYM183" s="21"/>
      <c r="WYN183" s="21"/>
      <c r="WYO183" s="21"/>
      <c r="WYP183" s="21"/>
      <c r="WYQ183" s="21"/>
      <c r="WYR183" s="21"/>
      <c r="WYS183" s="21"/>
      <c r="WYT183" s="21"/>
      <c r="WYU183" s="21"/>
      <c r="WYV183" s="21"/>
      <c r="WYW183" s="21"/>
      <c r="WYX183" s="21"/>
      <c r="WYY183" s="21"/>
      <c r="WYZ183" s="21"/>
      <c r="WZA183" s="21"/>
      <c r="WZB183" s="21"/>
      <c r="WZC183" s="21"/>
      <c r="WZD183" s="21"/>
      <c r="WZE183" s="21"/>
      <c r="WZF183" s="21"/>
      <c r="WZG183" s="21"/>
      <c r="WZH183" s="21"/>
      <c r="WZI183" s="21"/>
      <c r="WZJ183" s="21"/>
      <c r="WZK183" s="21"/>
      <c r="WZL183" s="21"/>
      <c r="WZM183" s="21"/>
      <c r="WZN183" s="21"/>
      <c r="WZO183" s="21"/>
      <c r="WZP183" s="21"/>
      <c r="WZQ183" s="21"/>
      <c r="WZR183" s="21"/>
      <c r="WZS183" s="21"/>
      <c r="WZT183" s="21"/>
      <c r="WZU183" s="21"/>
      <c r="WZV183" s="21"/>
      <c r="WZW183" s="21"/>
      <c r="WZX183" s="21"/>
      <c r="WZY183" s="21"/>
      <c r="WZZ183" s="21"/>
      <c r="XAA183" s="21"/>
      <c r="XAB183" s="21"/>
      <c r="XAC183" s="21"/>
      <c r="XAD183" s="21"/>
      <c r="XAE183" s="21"/>
      <c r="XAF183" s="21"/>
      <c r="XAG183" s="21"/>
      <c r="XAH183" s="21"/>
      <c r="XAI183" s="21"/>
      <c r="XAJ183" s="21"/>
      <c r="XAK183" s="21"/>
      <c r="XAL183" s="21"/>
      <c r="XAM183" s="21"/>
      <c r="XAN183" s="21"/>
      <c r="XAO183" s="21"/>
      <c r="XAP183" s="21"/>
      <c r="XAQ183" s="21"/>
      <c r="XAR183" s="21"/>
      <c r="XAS183" s="21"/>
      <c r="XAT183" s="21"/>
      <c r="XAU183" s="21"/>
      <c r="XAV183" s="21"/>
      <c r="XAW183" s="21"/>
      <c r="XAX183" s="21"/>
      <c r="XAY183" s="21"/>
      <c r="XAZ183" s="21"/>
      <c r="XBA183" s="21"/>
      <c r="XBB183" s="21"/>
      <c r="XBC183" s="21"/>
      <c r="XBD183" s="21"/>
      <c r="XBE183" s="21"/>
      <c r="XBF183" s="21"/>
      <c r="XBG183" s="21"/>
      <c r="XBH183" s="21"/>
      <c r="XBI183" s="21"/>
      <c r="XBJ183" s="21"/>
      <c r="XBK183" s="21"/>
      <c r="XBL183" s="21"/>
      <c r="XBM183" s="21"/>
      <c r="XBN183" s="21"/>
      <c r="XBO183" s="21"/>
      <c r="XBP183" s="21"/>
      <c r="XBQ183" s="21"/>
      <c r="XBR183" s="21"/>
      <c r="XBS183" s="21"/>
      <c r="XBT183" s="21"/>
      <c r="XBU183" s="21"/>
      <c r="XBV183" s="21"/>
      <c r="XBW183" s="21"/>
      <c r="XBX183" s="21"/>
      <c r="XBY183" s="21"/>
      <c r="XBZ183" s="21"/>
      <c r="XCA183" s="21"/>
      <c r="XCB183" s="21"/>
      <c r="XCC183" s="21"/>
      <c r="XCD183" s="21"/>
      <c r="XCE183" s="21"/>
      <c r="XCF183" s="21"/>
      <c r="XCG183" s="21"/>
      <c r="XCH183" s="21"/>
      <c r="XCI183" s="21"/>
      <c r="XCJ183" s="21"/>
      <c r="XCK183" s="21"/>
      <c r="XCL183" s="21"/>
      <c r="XCM183" s="21"/>
      <c r="XCN183" s="21"/>
      <c r="XCO183" s="21"/>
      <c r="XCP183" s="21"/>
      <c r="XCQ183" s="21"/>
      <c r="XCR183" s="21"/>
      <c r="XCS183" s="21"/>
      <c r="XCT183" s="21"/>
      <c r="XCU183" s="21"/>
      <c r="XCV183" s="21"/>
      <c r="XCW183" s="21"/>
      <c r="XCX183" s="21"/>
      <c r="XCY183" s="21"/>
      <c r="XCZ183" s="21"/>
      <c r="XDA183" s="21"/>
      <c r="XDB183" s="21"/>
      <c r="XDC183" s="21"/>
      <c r="XDD183" s="21"/>
      <c r="XDE183" s="21"/>
      <c r="XDF183" s="21"/>
      <c r="XDG183" s="21"/>
      <c r="XDH183" s="21"/>
      <c r="XDI183" s="21"/>
      <c r="XDJ183" s="21"/>
      <c r="XDK183" s="21"/>
      <c r="XDL183" s="21"/>
      <c r="XDM183" s="21"/>
      <c r="XDN183" s="21"/>
      <c r="XDO183" s="21"/>
      <c r="XDP183" s="21"/>
      <c r="XDQ183" s="21"/>
      <c r="XDR183" s="21"/>
      <c r="XDS183" s="21"/>
      <c r="XDT183" s="21"/>
      <c r="XDU183" s="21"/>
      <c r="XDV183" s="21"/>
      <c r="XDW183" s="21"/>
      <c r="XDX183" s="21"/>
      <c r="XDY183" s="21"/>
      <c r="XDZ183" s="21"/>
      <c r="XEA183" s="21"/>
      <c r="XEB183" s="21"/>
      <c r="XEC183" s="21"/>
      <c r="XED183" s="21"/>
      <c r="XEE183" s="21"/>
      <c r="XEF183" s="21"/>
      <c r="XEG183" s="21"/>
      <c r="XEH183" s="21"/>
      <c r="XEI183" s="21"/>
      <c r="XEJ183" s="21"/>
      <c r="XEK183" s="21"/>
      <c r="XEL183" s="21"/>
      <c r="XEM183" s="21"/>
      <c r="XEN183" s="21"/>
      <c r="XEO183" s="21"/>
      <c r="XEP183" s="21"/>
      <c r="XEQ183" s="21"/>
      <c r="XER183" s="21"/>
      <c r="XES183" s="21"/>
      <c r="XET183" s="21"/>
      <c r="XEU183" s="21"/>
      <c r="XEV183" s="21"/>
      <c r="XEW183" s="21"/>
      <c r="XEX183" s="21"/>
      <c r="XEY183" s="21"/>
      <c r="XEZ183" s="21"/>
      <c r="XFA183" s="21"/>
    </row>
    <row r="184" spans="1:16381" ht="19.350000000000001" customHeight="1" x14ac:dyDescent="0.3">
      <c r="A184" s="63"/>
      <c r="B184" s="63"/>
      <c r="C184" s="63"/>
      <c r="D184" s="63"/>
      <c r="E184" s="63"/>
      <c r="F184" s="63"/>
      <c r="G184" s="63"/>
      <c r="H184" s="63"/>
    </row>
    <row r="185" spans="1:16381" ht="19.350000000000001" customHeight="1" x14ac:dyDescent="0.3">
      <c r="A185" s="63"/>
      <c r="B185" s="63"/>
      <c r="C185" s="63"/>
      <c r="D185" s="63"/>
      <c r="E185" s="63"/>
      <c r="F185" s="63"/>
      <c r="G185" s="63"/>
      <c r="H185" s="63"/>
    </row>
    <row r="186" spans="1:16381" ht="19.350000000000001" customHeight="1" x14ac:dyDescent="0.3">
      <c r="A186" s="63"/>
      <c r="B186" s="63"/>
      <c r="C186" s="63"/>
      <c r="D186" s="63"/>
      <c r="E186" s="63"/>
      <c r="F186" s="63"/>
      <c r="G186" s="63"/>
      <c r="H186" s="63"/>
    </row>
    <row r="187" spans="1:16381" ht="19.350000000000001" customHeight="1" x14ac:dyDescent="0.3">
      <c r="A187" s="63"/>
      <c r="B187" s="63"/>
      <c r="C187" s="63"/>
      <c r="D187" s="63"/>
      <c r="E187" s="63"/>
      <c r="F187" s="63"/>
      <c r="G187" s="63"/>
      <c r="H187" s="63"/>
    </row>
    <row r="188" spans="1:16381" ht="19.350000000000001" customHeight="1" x14ac:dyDescent="0.3">
      <c r="A188" s="63"/>
      <c r="B188" s="63"/>
      <c r="C188" s="63"/>
      <c r="D188" s="63"/>
      <c r="E188" s="63"/>
      <c r="F188" s="63"/>
      <c r="G188" s="63"/>
      <c r="H188" s="63"/>
    </row>
    <row r="189" spans="1:16381" ht="19.350000000000001" customHeight="1" x14ac:dyDescent="0.3">
      <c r="A189" s="63"/>
      <c r="B189" s="63"/>
      <c r="C189" s="63"/>
      <c r="D189" s="63"/>
      <c r="E189" s="63"/>
      <c r="F189" s="63"/>
      <c r="G189" s="63"/>
      <c r="H189" s="63"/>
      <c r="M189" s="21" t="b">
        <f>ISNUMBER(SEARCH("enter description", A189))</f>
        <v>0</v>
      </c>
    </row>
    <row r="190" spans="1:16381" ht="19.350000000000001" customHeight="1" x14ac:dyDescent="0.3">
      <c r="A190" s="63"/>
      <c r="B190" s="63"/>
      <c r="C190" s="63"/>
      <c r="D190" s="63"/>
      <c r="E190" s="63"/>
      <c r="F190" s="63"/>
      <c r="G190" s="63"/>
      <c r="H190" s="63"/>
    </row>
    <row r="191" spans="1:16381" ht="19.350000000000001" customHeight="1" x14ac:dyDescent="0.3">
      <c r="A191" s="63"/>
      <c r="B191" s="63"/>
      <c r="C191" s="63"/>
      <c r="D191" s="63"/>
      <c r="E191" s="63"/>
      <c r="F191" s="63"/>
      <c r="G191" s="63"/>
      <c r="H191" s="63"/>
    </row>
    <row r="192" spans="1:16381" ht="19.350000000000001" customHeight="1" x14ac:dyDescent="0.3">
      <c r="A192" s="63"/>
      <c r="B192" s="63"/>
      <c r="C192" s="63"/>
      <c r="D192" s="63"/>
      <c r="E192" s="63"/>
      <c r="F192" s="63"/>
      <c r="G192" s="63"/>
      <c r="H192" s="63"/>
    </row>
    <row r="193" spans="1:13" ht="19.350000000000001" customHeight="1" x14ac:dyDescent="0.3">
      <c r="A193" s="63"/>
      <c r="B193" s="63"/>
      <c r="C193" s="63"/>
      <c r="D193" s="63"/>
      <c r="E193" s="63"/>
      <c r="F193" s="63"/>
      <c r="G193" s="63"/>
      <c r="H193" s="63"/>
    </row>
    <row r="194" spans="1:13" ht="19.350000000000001" customHeight="1" x14ac:dyDescent="0.3">
      <c r="A194" s="63"/>
      <c r="B194" s="63"/>
      <c r="C194" s="63"/>
      <c r="D194" s="63"/>
      <c r="E194" s="63"/>
      <c r="F194" s="63"/>
      <c r="G194" s="63"/>
      <c r="H194" s="63"/>
    </row>
    <row r="195" spans="1:13" ht="19.350000000000001" customHeight="1" x14ac:dyDescent="0.3">
      <c r="A195" s="63"/>
      <c r="B195" s="63"/>
      <c r="C195" s="63"/>
      <c r="D195" s="63"/>
      <c r="E195" s="63"/>
      <c r="F195" s="63"/>
      <c r="G195" s="63"/>
      <c r="H195" s="63"/>
    </row>
    <row r="196" spans="1:13" ht="19.350000000000001" customHeight="1" x14ac:dyDescent="0.3">
      <c r="A196" s="63"/>
      <c r="B196" s="63"/>
      <c r="C196" s="63"/>
      <c r="D196" s="63"/>
      <c r="E196" s="63"/>
      <c r="F196" s="63"/>
      <c r="G196" s="63"/>
      <c r="H196" s="63"/>
    </row>
    <row r="197" spans="1:13" ht="19.350000000000001" customHeight="1" x14ac:dyDescent="0.3">
      <c r="A197" s="63"/>
      <c r="B197" s="63"/>
      <c r="C197" s="63"/>
      <c r="D197" s="63"/>
      <c r="E197" s="63"/>
      <c r="F197" s="63"/>
      <c r="G197" s="63"/>
      <c r="H197" s="63"/>
    </row>
    <row r="198" spans="1:13" ht="19.350000000000001" customHeight="1" x14ac:dyDescent="0.3">
      <c r="A198" s="63"/>
      <c r="B198" s="63"/>
      <c r="C198" s="63"/>
      <c r="D198" s="63"/>
      <c r="E198" s="63"/>
      <c r="F198" s="63"/>
      <c r="G198" s="63"/>
      <c r="H198" s="63"/>
    </row>
    <row r="199" spans="1:13" ht="19.350000000000001" customHeight="1" x14ac:dyDescent="0.3">
      <c r="A199" s="63"/>
      <c r="B199" s="63"/>
      <c r="C199" s="63"/>
      <c r="D199" s="63"/>
      <c r="E199" s="63"/>
      <c r="F199" s="63"/>
      <c r="G199" s="63"/>
      <c r="H199" s="63"/>
    </row>
    <row r="200" spans="1:13" ht="19.350000000000001" customHeight="1" x14ac:dyDescent="0.3">
      <c r="A200" s="63"/>
      <c r="B200" s="63"/>
      <c r="C200" s="63"/>
      <c r="D200" s="63"/>
      <c r="E200" s="63"/>
      <c r="F200" s="63"/>
      <c r="G200" s="63"/>
      <c r="H200" s="63"/>
      <c r="M200" s="21" t="b">
        <f>ISNUMBER(SEARCH("enter description", A200))</f>
        <v>0</v>
      </c>
    </row>
    <row r="201" spans="1:13" ht="19.350000000000001" customHeight="1" x14ac:dyDescent="0.3">
      <c r="A201" s="63"/>
      <c r="B201" s="63"/>
      <c r="C201" s="63"/>
      <c r="D201" s="63"/>
      <c r="E201" s="63"/>
      <c r="F201" s="63"/>
      <c r="G201" s="63"/>
      <c r="H201" s="63"/>
    </row>
    <row r="202" spans="1:13" ht="19.350000000000001" customHeight="1" x14ac:dyDescent="0.3">
      <c r="A202" s="63"/>
      <c r="B202" s="63"/>
      <c r="C202" s="63"/>
      <c r="D202" s="63"/>
      <c r="E202" s="63"/>
      <c r="F202" s="63"/>
      <c r="G202" s="63"/>
      <c r="H202" s="63"/>
    </row>
    <row r="203" spans="1:13" ht="19.350000000000001" customHeight="1" x14ac:dyDescent="0.3">
      <c r="A203" s="63"/>
      <c r="B203" s="63"/>
      <c r="C203" s="63"/>
      <c r="D203" s="63"/>
      <c r="E203" s="63"/>
      <c r="F203" s="63"/>
      <c r="G203" s="63"/>
      <c r="H203" s="63"/>
    </row>
    <row r="204" spans="1:13" ht="19.350000000000001" customHeight="1" x14ac:dyDescent="0.3">
      <c r="A204" s="63"/>
      <c r="B204" s="63"/>
      <c r="C204" s="63"/>
      <c r="D204" s="63"/>
      <c r="E204" s="63"/>
      <c r="F204" s="63"/>
      <c r="G204" s="63"/>
      <c r="H204" s="63"/>
    </row>
    <row r="205" spans="1:13" ht="19.350000000000001" customHeight="1" x14ac:dyDescent="0.3">
      <c r="A205" s="63"/>
      <c r="B205" s="63"/>
      <c r="C205" s="63"/>
      <c r="D205" s="63"/>
      <c r="E205" s="63"/>
      <c r="F205" s="63"/>
      <c r="G205" s="63"/>
      <c r="H205" s="63"/>
    </row>
    <row r="206" spans="1:13" ht="19.350000000000001" customHeight="1" x14ac:dyDescent="0.3">
      <c r="A206" s="63"/>
      <c r="B206" s="63"/>
      <c r="C206" s="63"/>
      <c r="D206" s="63"/>
      <c r="E206" s="63"/>
      <c r="F206" s="63"/>
      <c r="G206" s="63"/>
      <c r="H206" s="63"/>
    </row>
    <row r="207" spans="1:13" ht="19.350000000000001" customHeight="1" x14ac:dyDescent="0.3">
      <c r="A207" s="63"/>
      <c r="B207" s="63"/>
      <c r="C207" s="63"/>
      <c r="D207" s="63"/>
      <c r="E207" s="63"/>
      <c r="F207" s="63"/>
      <c r="G207" s="63"/>
      <c r="H207" s="63"/>
    </row>
    <row r="208" spans="1:13" ht="19.350000000000001" customHeight="1" x14ac:dyDescent="0.3">
      <c r="A208" s="63"/>
      <c r="B208" s="63"/>
      <c r="C208" s="63"/>
      <c r="D208" s="63"/>
      <c r="E208" s="63"/>
      <c r="F208" s="63"/>
      <c r="G208" s="63"/>
      <c r="H208" s="63"/>
    </row>
    <row r="209" spans="1:13" ht="19.350000000000001" customHeight="1" x14ac:dyDescent="0.3">
      <c r="A209" s="63"/>
      <c r="B209" s="63"/>
      <c r="C209" s="63"/>
      <c r="D209" s="63"/>
      <c r="E209" s="63"/>
      <c r="F209" s="63"/>
      <c r="G209" s="63"/>
      <c r="H209" s="63"/>
    </row>
    <row r="210" spans="1:13" ht="19.350000000000001" customHeight="1" x14ac:dyDescent="0.3">
      <c r="A210" s="63"/>
      <c r="B210" s="63"/>
      <c r="C210" s="63"/>
      <c r="D210" s="63"/>
      <c r="E210" s="63"/>
      <c r="F210" s="63"/>
      <c r="G210" s="63"/>
      <c r="H210" s="63"/>
    </row>
    <row r="211" spans="1:13" ht="19.350000000000001" customHeight="1" x14ac:dyDescent="0.3">
      <c r="A211" s="63"/>
      <c r="B211" s="63"/>
      <c r="C211" s="63"/>
      <c r="D211" s="63"/>
      <c r="E211" s="63"/>
      <c r="F211" s="63"/>
      <c r="G211" s="63"/>
      <c r="H211" s="63"/>
      <c r="M211" s="21" t="b">
        <f>ISNUMBER(SEARCH("enter description", A211))</f>
        <v>0</v>
      </c>
    </row>
    <row r="212" spans="1:13" ht="19.350000000000001" customHeight="1" x14ac:dyDescent="0.3">
      <c r="A212" s="63"/>
      <c r="B212" s="63"/>
      <c r="C212" s="63"/>
      <c r="D212" s="63"/>
      <c r="E212" s="63"/>
      <c r="F212" s="63"/>
      <c r="G212" s="63"/>
      <c r="H212" s="63"/>
    </row>
    <row r="213" spans="1:13" ht="19.350000000000001" customHeight="1" x14ac:dyDescent="0.3">
      <c r="A213" s="63"/>
      <c r="B213" s="63"/>
      <c r="C213" s="63"/>
      <c r="D213" s="63"/>
      <c r="E213" s="63"/>
      <c r="F213" s="63"/>
      <c r="G213" s="63"/>
      <c r="H213" s="63"/>
    </row>
    <row r="214" spans="1:13" ht="19.350000000000001" customHeight="1" x14ac:dyDescent="0.3">
      <c r="A214" s="63"/>
      <c r="B214" s="63"/>
      <c r="C214" s="63"/>
      <c r="D214" s="63"/>
      <c r="E214" s="63"/>
      <c r="F214" s="63"/>
      <c r="G214" s="63"/>
      <c r="H214" s="63"/>
    </row>
    <row r="215" spans="1:13" ht="19.350000000000001" customHeight="1" x14ac:dyDescent="0.3">
      <c r="A215" s="63"/>
      <c r="B215" s="63"/>
      <c r="C215" s="63"/>
      <c r="D215" s="63"/>
      <c r="E215" s="63"/>
      <c r="F215" s="63"/>
      <c r="G215" s="63"/>
      <c r="H215" s="63"/>
    </row>
    <row r="216" spans="1:13" ht="19.350000000000001" customHeight="1" x14ac:dyDescent="0.3">
      <c r="A216" s="63"/>
      <c r="B216" s="63"/>
      <c r="C216" s="63"/>
      <c r="D216" s="63"/>
      <c r="E216" s="63"/>
      <c r="F216" s="63"/>
      <c r="G216" s="63"/>
      <c r="H216" s="63"/>
    </row>
    <row r="217" spans="1:13" ht="19.350000000000001" customHeight="1" x14ac:dyDescent="0.3">
      <c r="A217" s="63"/>
      <c r="B217" s="63"/>
      <c r="C217" s="63"/>
      <c r="D217" s="63"/>
      <c r="E217" s="63"/>
      <c r="F217" s="63"/>
      <c r="G217" s="63"/>
      <c r="H217" s="63"/>
    </row>
    <row r="218" spans="1:13" ht="19.350000000000001" customHeight="1" x14ac:dyDescent="0.3">
      <c r="A218" s="63"/>
      <c r="B218" s="63"/>
      <c r="C218" s="63"/>
      <c r="D218" s="63"/>
      <c r="E218" s="63"/>
      <c r="F218" s="63"/>
      <c r="G218" s="63"/>
      <c r="H218" s="63"/>
    </row>
    <row r="219" spans="1:13" ht="19.350000000000001" customHeight="1" x14ac:dyDescent="0.3">
      <c r="A219" s="63"/>
      <c r="B219" s="63"/>
      <c r="C219" s="63"/>
      <c r="D219" s="63"/>
      <c r="E219" s="63"/>
      <c r="F219" s="63"/>
      <c r="G219" s="63"/>
      <c r="H219" s="63"/>
    </row>
    <row r="220" spans="1:13" ht="19.350000000000001" customHeight="1" x14ac:dyDescent="0.3">
      <c r="A220" s="63"/>
      <c r="B220" s="63"/>
      <c r="C220" s="63"/>
      <c r="D220" s="63"/>
      <c r="E220" s="63"/>
      <c r="F220" s="63"/>
      <c r="G220" s="63"/>
      <c r="H220" s="63"/>
    </row>
    <row r="221" spans="1:13" ht="19.350000000000001" customHeight="1" x14ac:dyDescent="0.3">
      <c r="A221" s="63"/>
      <c r="B221" s="63"/>
      <c r="C221" s="63"/>
      <c r="D221" s="63"/>
      <c r="E221" s="63"/>
      <c r="F221" s="63"/>
      <c r="G221" s="63"/>
      <c r="H221" s="63"/>
    </row>
    <row r="222" spans="1:13" ht="19.350000000000001" customHeight="1" x14ac:dyDescent="0.3">
      <c r="A222" s="63"/>
      <c r="B222" s="63"/>
      <c r="C222" s="63"/>
      <c r="D222" s="63"/>
      <c r="E222" s="63"/>
      <c r="F222" s="63"/>
      <c r="G222" s="63"/>
      <c r="H222" s="63"/>
      <c r="J222" s="19">
        <v>0</v>
      </c>
      <c r="M222" s="21" t="b">
        <f>ISNUMBER(SEARCH("enter description", A222))</f>
        <v>0</v>
      </c>
    </row>
    <row r="223" spans="1:13" ht="2.1" customHeight="1" x14ac:dyDescent="0.3">
      <c r="A223" s="63"/>
      <c r="B223" s="63"/>
      <c r="C223" s="63"/>
      <c r="D223" s="63"/>
      <c r="E223" s="63"/>
      <c r="F223" s="63"/>
      <c r="G223" s="63"/>
      <c r="H223" s="63"/>
    </row>
    <row r="224" spans="1:13" ht="20.100000000000001" hidden="1" customHeight="1" x14ac:dyDescent="0.3"/>
    <row r="225" spans="10:10" ht="20.100000000000001" hidden="1" customHeight="1" x14ac:dyDescent="0.3">
      <c r="J225" s="19">
        <v>0</v>
      </c>
    </row>
    <row r="226" spans="10:10" ht="20.100000000000001" hidden="1" customHeight="1" x14ac:dyDescent="0.3"/>
    <row r="227" spans="10:10" ht="20.100000000000001" hidden="1" customHeight="1" x14ac:dyDescent="0.3"/>
    <row r="228" spans="10:10" ht="20.100000000000001" hidden="1" customHeight="1" x14ac:dyDescent="0.3"/>
    <row r="229" spans="10:10" ht="20.100000000000001" hidden="1" customHeight="1" x14ac:dyDescent="0.3"/>
    <row r="230" spans="10:10" ht="20.100000000000001" hidden="1" customHeight="1" x14ac:dyDescent="0.3"/>
    <row r="231" spans="10:10" ht="20.100000000000001" hidden="1" customHeight="1" x14ac:dyDescent="0.3"/>
    <row r="232" spans="10:10" ht="20.100000000000001" hidden="1" customHeight="1" x14ac:dyDescent="0.3"/>
    <row r="233" spans="10:10" ht="20.100000000000001" hidden="1" customHeight="1" x14ac:dyDescent="0.3"/>
    <row r="234" spans="10:10" ht="20.100000000000001" hidden="1" customHeight="1" x14ac:dyDescent="0.3"/>
    <row r="235" spans="10:10" ht="20.100000000000001" hidden="1" customHeight="1" x14ac:dyDescent="0.3"/>
    <row r="236" spans="10:10" ht="20.100000000000001" hidden="1" customHeight="1" x14ac:dyDescent="0.3"/>
    <row r="237" spans="10:10" ht="20.100000000000001" hidden="1" customHeight="1" x14ac:dyDescent="0.3"/>
    <row r="238" spans="10:10" ht="20.100000000000001" hidden="1" customHeight="1" x14ac:dyDescent="0.3"/>
    <row r="239" spans="10:10" ht="20.100000000000001" hidden="1" customHeight="1" x14ac:dyDescent="0.3"/>
    <row r="240" spans="10:10" ht="20.100000000000001" hidden="1" customHeight="1" x14ac:dyDescent="0.3"/>
    <row r="241" ht="20.100000000000001" hidden="1" customHeight="1" x14ac:dyDescent="0.3"/>
    <row r="242" ht="20.100000000000001" hidden="1" customHeight="1" x14ac:dyDescent="0.3"/>
    <row r="243" ht="20.100000000000001" hidden="1" customHeight="1" x14ac:dyDescent="0.3"/>
    <row r="244" ht="20.100000000000001" hidden="1" customHeight="1" x14ac:dyDescent="0.3"/>
    <row r="245" ht="20.100000000000001" hidden="1" customHeight="1" x14ac:dyDescent="0.3"/>
    <row r="246" ht="20.100000000000001" hidden="1" customHeight="1" x14ac:dyDescent="0.3"/>
    <row r="247" ht="20.100000000000001" hidden="1" customHeight="1" x14ac:dyDescent="0.3"/>
    <row r="248" ht="20.100000000000001" hidden="1" customHeight="1" x14ac:dyDescent="0.3"/>
    <row r="249" ht="20.100000000000001" hidden="1" customHeight="1" x14ac:dyDescent="0.3"/>
    <row r="250" ht="20.100000000000001" hidden="1" customHeight="1" x14ac:dyDescent="0.3"/>
    <row r="251" ht="20.100000000000001" hidden="1" customHeight="1" x14ac:dyDescent="0.3"/>
    <row r="252" ht="20.100000000000001" hidden="1" customHeight="1" x14ac:dyDescent="0.3"/>
    <row r="253" ht="20.100000000000001" hidden="1" customHeight="1" x14ac:dyDescent="0.3"/>
    <row r="254" ht="20.100000000000001" hidden="1" customHeight="1" x14ac:dyDescent="0.3"/>
    <row r="255" ht="20.100000000000001" hidden="1" customHeight="1" x14ac:dyDescent="0.3"/>
    <row r="256" ht="20.100000000000001" hidden="1" customHeight="1" x14ac:dyDescent="0.3"/>
    <row r="257" spans="10:10" ht="20.100000000000001" hidden="1" customHeight="1" x14ac:dyDescent="0.3"/>
    <row r="258" spans="10:10" ht="20.100000000000001" hidden="1" customHeight="1" x14ac:dyDescent="0.3"/>
    <row r="259" spans="10:10" ht="20.100000000000001" hidden="1" customHeight="1" x14ac:dyDescent="0.3"/>
    <row r="260" spans="10:10" ht="20.100000000000001" hidden="1" customHeight="1" x14ac:dyDescent="0.3"/>
    <row r="261" spans="10:10" ht="20.100000000000001" hidden="1" customHeight="1" x14ac:dyDescent="0.3"/>
    <row r="262" spans="10:10" ht="20.100000000000001" hidden="1" customHeight="1" x14ac:dyDescent="0.3"/>
    <row r="263" spans="10:10" ht="20.100000000000001" hidden="1" customHeight="1" x14ac:dyDescent="0.3">
      <c r="J263" s="19">
        <v>0</v>
      </c>
    </row>
    <row r="264" spans="10:10" ht="20.100000000000001" hidden="1" customHeight="1" x14ac:dyDescent="0.3">
      <c r="J264" s="19">
        <v>0</v>
      </c>
    </row>
    <row r="265" spans="10:10" ht="20.100000000000001" hidden="1" customHeight="1" x14ac:dyDescent="0.3"/>
    <row r="266" spans="10:10" ht="20.100000000000001" hidden="1" customHeight="1" x14ac:dyDescent="0.3"/>
    <row r="267" spans="10:10" ht="20.100000000000001" hidden="1" customHeight="1" x14ac:dyDescent="0.3"/>
    <row r="268" spans="10:10" ht="20.100000000000001" hidden="1" customHeight="1" x14ac:dyDescent="0.3"/>
    <row r="269" spans="10:10" ht="20.100000000000001" hidden="1" customHeight="1" x14ac:dyDescent="0.3"/>
    <row r="270" spans="10:10" ht="20.100000000000001" hidden="1" customHeight="1" x14ac:dyDescent="0.3"/>
    <row r="271" spans="10:10" ht="20.100000000000001" hidden="1" customHeight="1" x14ac:dyDescent="0.3">
      <c r="J271" s="19">
        <v>0</v>
      </c>
    </row>
    <row r="272" spans="10:10" ht="20.100000000000001" hidden="1" customHeight="1" x14ac:dyDescent="0.3"/>
    <row r="273" spans="7:7" ht="20.100000000000001" hidden="1" customHeight="1" x14ac:dyDescent="0.3"/>
    <row r="274" spans="7:7" ht="20.100000000000001" hidden="1" customHeight="1" x14ac:dyDescent="0.3"/>
    <row r="275" spans="7:7" ht="20.100000000000001" hidden="1" customHeight="1" x14ac:dyDescent="0.3"/>
    <row r="276" spans="7:7" ht="20.100000000000001" hidden="1" customHeight="1" x14ac:dyDescent="0.3"/>
    <row r="277" spans="7:7" ht="20.100000000000001" hidden="1" customHeight="1" x14ac:dyDescent="0.3"/>
    <row r="278" spans="7:7" ht="20.100000000000001" hidden="1" customHeight="1" x14ac:dyDescent="0.3"/>
    <row r="279" spans="7:7" ht="20.100000000000001" hidden="1" customHeight="1" x14ac:dyDescent="0.3"/>
    <row r="280" spans="7:7" ht="20.100000000000001" hidden="1" customHeight="1" x14ac:dyDescent="0.3"/>
    <row r="281" spans="7:7" ht="20.100000000000001" hidden="1" customHeight="1" x14ac:dyDescent="0.3"/>
    <row r="282" spans="7:7" ht="20.100000000000001" hidden="1" customHeight="1" x14ac:dyDescent="0.3"/>
    <row r="283" spans="7:7" ht="20.100000000000001" hidden="1" customHeight="1" x14ac:dyDescent="0.3"/>
    <row r="284" spans="7:7" ht="20.100000000000001" hidden="1" customHeight="1" x14ac:dyDescent="0.3">
      <c r="G284" s="8"/>
    </row>
    <row r="285" spans="7:7" ht="20.100000000000001" hidden="1" customHeight="1" x14ac:dyDescent="0.3"/>
    <row r="286" spans="7:7" ht="20.100000000000001" hidden="1" customHeight="1" x14ac:dyDescent="0.3"/>
    <row r="301" spans="10:10" ht="0" hidden="1" customHeight="1" x14ac:dyDescent="0.3">
      <c r="J301" s="19">
        <v>3</v>
      </c>
    </row>
  </sheetData>
  <sheetProtection selectLockedCells="1"/>
  <mergeCells count="261">
    <mergeCell ref="S2:Y2"/>
    <mergeCell ref="S3:T3"/>
    <mergeCell ref="A223:H223"/>
    <mergeCell ref="A54:B54"/>
    <mergeCell ref="E46:H46"/>
    <mergeCell ref="E53:H53"/>
    <mergeCell ref="E57:H57"/>
    <mergeCell ref="E69:H69"/>
    <mergeCell ref="E90:H90"/>
    <mergeCell ref="E103:H103"/>
    <mergeCell ref="E108:H108"/>
    <mergeCell ref="A46:C46"/>
    <mergeCell ref="A53:C53"/>
    <mergeCell ref="A57:C57"/>
    <mergeCell ref="A108:C108"/>
    <mergeCell ref="A103:C103"/>
    <mergeCell ref="A90:C90"/>
    <mergeCell ref="A69:C69"/>
    <mergeCell ref="A112:B112"/>
    <mergeCell ref="F109:H109"/>
    <mergeCell ref="F102:H102"/>
    <mergeCell ref="A106:B106"/>
    <mergeCell ref="A105:B105"/>
    <mergeCell ref="F104:H104"/>
    <mergeCell ref="F68:H68"/>
    <mergeCell ref="F81:H81"/>
    <mergeCell ref="A76:B76"/>
    <mergeCell ref="F76:H76"/>
    <mergeCell ref="A75:B75"/>
    <mergeCell ref="F75:H75"/>
    <mergeCell ref="A74:B74"/>
    <mergeCell ref="F74:H74"/>
    <mergeCell ref="A73:B73"/>
    <mergeCell ref="F78:H78"/>
    <mergeCell ref="A77:B77"/>
    <mergeCell ref="F77:H77"/>
    <mergeCell ref="F73:H73"/>
    <mergeCell ref="A71:B71"/>
    <mergeCell ref="A80:B80"/>
    <mergeCell ref="B6:C6"/>
    <mergeCell ref="A92:B92"/>
    <mergeCell ref="F92:H92"/>
    <mergeCell ref="A49:B49"/>
    <mergeCell ref="F49:H49"/>
    <mergeCell ref="A50:B50"/>
    <mergeCell ref="F50:H50"/>
    <mergeCell ref="A88:H88"/>
    <mergeCell ref="A82:H82"/>
    <mergeCell ref="A83:H83"/>
    <mergeCell ref="A84:H84"/>
    <mergeCell ref="F70:H70"/>
    <mergeCell ref="F71:H71"/>
    <mergeCell ref="F80:H80"/>
    <mergeCell ref="A60:B60"/>
    <mergeCell ref="F60:H60"/>
    <mergeCell ref="A45:B45"/>
    <mergeCell ref="F47:H47"/>
    <mergeCell ref="F48:H48"/>
    <mergeCell ref="F45:H45"/>
    <mergeCell ref="A59:B59"/>
    <mergeCell ref="A68:B68"/>
    <mergeCell ref="A70:B70"/>
    <mergeCell ref="F59:H59"/>
    <mergeCell ref="F52:H52"/>
    <mergeCell ref="B1:C1"/>
    <mergeCell ref="A7:H7"/>
    <mergeCell ref="G6:H6"/>
    <mergeCell ref="B2:H2"/>
    <mergeCell ref="D6:F6"/>
    <mergeCell ref="G1:H1"/>
    <mergeCell ref="D1:F1"/>
    <mergeCell ref="A111:B111"/>
    <mergeCell ref="A110:B110"/>
    <mergeCell ref="A58:B58"/>
    <mergeCell ref="A93:B93"/>
    <mergeCell ref="F93:H93"/>
    <mergeCell ref="A91:B91"/>
    <mergeCell ref="D3:F3"/>
    <mergeCell ref="D4:F4"/>
    <mergeCell ref="D5:F5"/>
    <mergeCell ref="A8:H8"/>
    <mergeCell ref="A9:H42"/>
    <mergeCell ref="A48:B48"/>
    <mergeCell ref="A52:B52"/>
    <mergeCell ref="F54:H54"/>
    <mergeCell ref="F58:H58"/>
    <mergeCell ref="A47:B47"/>
    <mergeCell ref="B3:C3"/>
    <mergeCell ref="B4:C4"/>
    <mergeCell ref="B5:C5"/>
    <mergeCell ref="G4:H4"/>
    <mergeCell ref="G5:H5"/>
    <mergeCell ref="G3:H3"/>
    <mergeCell ref="A86:H86"/>
    <mergeCell ref="A87:H87"/>
    <mergeCell ref="A85:H85"/>
    <mergeCell ref="A51:B51"/>
    <mergeCell ref="F51:H51"/>
    <mergeCell ref="A56:B56"/>
    <mergeCell ref="F56:H56"/>
    <mergeCell ref="A55:B55"/>
    <mergeCell ref="F55:H55"/>
    <mergeCell ref="A67:B67"/>
    <mergeCell ref="F67:H67"/>
    <mergeCell ref="A72:B72"/>
    <mergeCell ref="F72:H72"/>
    <mergeCell ref="A62:B62"/>
    <mergeCell ref="F62:H62"/>
    <mergeCell ref="A61:B61"/>
    <mergeCell ref="F61:H61"/>
    <mergeCell ref="A66:B66"/>
    <mergeCell ref="A115:H115"/>
    <mergeCell ref="A113:H113"/>
    <mergeCell ref="A109:B109"/>
    <mergeCell ref="F91:H91"/>
    <mergeCell ref="A89:B89"/>
    <mergeCell ref="A81:B81"/>
    <mergeCell ref="F89:H89"/>
    <mergeCell ref="F101:H101"/>
    <mergeCell ref="F105:H105"/>
    <mergeCell ref="A104:B104"/>
    <mergeCell ref="F106:H106"/>
    <mergeCell ref="F107:H107"/>
    <mergeCell ref="F112:H112"/>
    <mergeCell ref="F111:H111"/>
    <mergeCell ref="F110:H110"/>
    <mergeCell ref="A107:B107"/>
    <mergeCell ref="A102:B102"/>
    <mergeCell ref="A101:B101"/>
    <mergeCell ref="A116:H116"/>
    <mergeCell ref="A158:H158"/>
    <mergeCell ref="A152:H152"/>
    <mergeCell ref="A153:H153"/>
    <mergeCell ref="A154:H154"/>
    <mergeCell ref="A155:H155"/>
    <mergeCell ref="A156:H156"/>
    <mergeCell ref="A157:H157"/>
    <mergeCell ref="A131:H131"/>
    <mergeCell ref="A165:H165"/>
    <mergeCell ref="A166:H166"/>
    <mergeCell ref="A167:H167"/>
    <mergeCell ref="A173:H17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77:H177"/>
    <mergeCell ref="A132:H132"/>
    <mergeCell ref="A178:H178"/>
    <mergeCell ref="A179:H179"/>
    <mergeCell ref="A180:H180"/>
    <mergeCell ref="A181:H181"/>
    <mergeCell ref="A182:H182"/>
    <mergeCell ref="A183:H183"/>
    <mergeCell ref="A184:H184"/>
    <mergeCell ref="A168:H168"/>
    <mergeCell ref="A169:H169"/>
    <mergeCell ref="A170:H170"/>
    <mergeCell ref="A171:H171"/>
    <mergeCell ref="A172:H172"/>
    <mergeCell ref="A174:H174"/>
    <mergeCell ref="A133:H133"/>
    <mergeCell ref="A175:H175"/>
    <mergeCell ref="A176:H176"/>
    <mergeCell ref="A159:H159"/>
    <mergeCell ref="A160:H160"/>
    <mergeCell ref="A161:H161"/>
    <mergeCell ref="A162:H162"/>
    <mergeCell ref="A163:H163"/>
    <mergeCell ref="A164:H16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19:H219"/>
    <mergeCell ref="A220:H220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21:H221"/>
    <mergeCell ref="A222:H222"/>
    <mergeCell ref="A114:H114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212:H212"/>
    <mergeCell ref="A213:H213"/>
    <mergeCell ref="A214:H214"/>
    <mergeCell ref="A215:H215"/>
    <mergeCell ref="A216:H216"/>
    <mergeCell ref="A217:H217"/>
    <mergeCell ref="A218:H218"/>
    <mergeCell ref="A65:B65"/>
    <mergeCell ref="F65:H65"/>
    <mergeCell ref="A64:B64"/>
    <mergeCell ref="F64:H64"/>
    <mergeCell ref="A63:B63"/>
    <mergeCell ref="F63:H63"/>
    <mergeCell ref="A79:B79"/>
    <mergeCell ref="F79:H79"/>
    <mergeCell ref="A100:B100"/>
    <mergeCell ref="F100:H100"/>
    <mergeCell ref="A99:B99"/>
    <mergeCell ref="F99:H99"/>
    <mergeCell ref="A98:B98"/>
    <mergeCell ref="F98:H98"/>
    <mergeCell ref="A97:B97"/>
    <mergeCell ref="F97:H97"/>
    <mergeCell ref="A96:B96"/>
    <mergeCell ref="F96:H96"/>
    <mergeCell ref="A95:B95"/>
    <mergeCell ref="F95:H95"/>
    <mergeCell ref="A94:B94"/>
    <mergeCell ref="F94:H94"/>
    <mergeCell ref="F66:H66"/>
    <mergeCell ref="A78:B78"/>
  </mergeCells>
  <conditionalFormatting sqref="A198">
    <cfRule type="cellIs" dxfId="18" priority="27" operator="equal">
      <formula>0</formula>
    </cfRule>
  </conditionalFormatting>
  <conditionalFormatting sqref="A199">
    <cfRule type="cellIs" dxfId="17" priority="19" operator="equal">
      <formula>0</formula>
    </cfRule>
  </conditionalFormatting>
  <conditionalFormatting sqref="A157:A158">
    <cfRule type="cellIs" dxfId="16" priority="9" operator="equal">
      <formula>0</formula>
    </cfRule>
  </conditionalFormatting>
  <conditionalFormatting sqref="A145">
    <cfRule type="cellIs" dxfId="15" priority="7" operator="equal">
      <formula>0</formula>
    </cfRule>
  </conditionalFormatting>
  <conditionalFormatting sqref="A170:A171 A185:A186">
    <cfRule type="cellIs" dxfId="14" priority="6" operator="equal">
      <formula>0</formula>
    </cfRule>
  </conditionalFormatting>
  <conditionalFormatting sqref="B1:C1">
    <cfRule type="cellIs" dxfId="13" priority="2" operator="equal">
      <formula>"Start typing then use drop-down"</formula>
    </cfRule>
  </conditionalFormatting>
  <conditionalFormatting sqref="B4:C4">
    <cfRule type="cellIs" dxfId="12" priority="1" operator="equal">
      <formula>"edit"</formula>
    </cfRule>
  </conditionalFormatting>
  <dataValidations count="1">
    <dataValidation type="list" allowBlank="1" showInputMessage="1" sqref="G6:H6 B6" xr:uid="{C565DBC8-D3EE-4065-9AC8-C2E65210E671}">
      <formula1>"N/A"</formula1>
    </dataValidation>
  </dataValidations>
  <pageMargins left="0.511811023622047" right="0.511811023622047" top="0.66929133858267698" bottom="0.55118110236220497" header="0.196850393700787" footer="0.196850393700787"/>
  <pageSetup paperSize="9" scale="91" fitToHeight="0" orientation="portrait" r:id="rId1"/>
  <headerFooter>
    <oddHeader xml:space="preserve">&amp;L&amp;G&amp;C&amp;18Inspection Report - Ishida DACS &amp;R&amp;10SER SI 03 </oddHeader>
    <oddFooter>&amp;L&amp;9SER SI 03 Ishida DACS Inspection, Issue 3, 17 Oct 2022&amp;R&amp;9&amp;P of &amp;N</oddFooter>
  </headerFooter>
  <rowBreaks count="4" manualBreakCount="4">
    <brk id="43" max="7" man="1"/>
    <brk id="87" max="7" man="1"/>
    <brk id="131" max="7" man="1"/>
    <brk id="177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5" name="Button 22">
              <controlPr defaultSize="0" print="0" autoFill="0" autoPict="0" macro="[0]!PrintBoth">
                <anchor moveWithCells="1" sizeWithCells="1">
                  <from>
                    <xdr:col>6</xdr:col>
                    <xdr:colOff>1104900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6" name="Button 32">
              <controlPr defaultSize="0" print="0" autoFill="0" autoPict="0" macro="[0]!PastePhoto_1W">
                <anchor moveWithCells="1" sizeWithCells="1">
                  <from>
                    <xdr:col>7</xdr:col>
                    <xdr:colOff>0</xdr:colOff>
                    <xdr:row>138</xdr:row>
                    <xdr:rowOff>45720</xdr:rowOff>
                  </from>
                  <to>
                    <xdr:col>7</xdr:col>
                    <xdr:colOff>914400</xdr:colOff>
                    <xdr:row>140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7" name="Button 34">
              <controlPr defaultSize="0" print="0" autoFill="0" autoPict="0" macro="[0]!PastePhoto_3W">
                <anchor moveWithCells="1" sizeWithCells="1">
                  <from>
                    <xdr:col>7</xdr:col>
                    <xdr:colOff>0</xdr:colOff>
                    <xdr:row>159</xdr:row>
                    <xdr:rowOff>228600</xdr:rowOff>
                  </from>
                  <to>
                    <xdr:col>7</xdr:col>
                    <xdr:colOff>914400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8" name="Button 60">
              <controlPr defaultSize="0" print="0" autoFill="0" autoPict="0" macro="[0]!PastePhoto_2W">
                <anchor moveWithCells="1" sizeWithCells="1">
                  <from>
                    <xdr:col>7</xdr:col>
                    <xdr:colOff>0</xdr:colOff>
                    <xdr:row>149</xdr:row>
                    <xdr:rowOff>0</xdr:rowOff>
                  </from>
                  <to>
                    <xdr:col>7</xdr:col>
                    <xdr:colOff>914400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9" name="Button 62">
              <controlPr defaultSize="0" print="0" autoFill="0" autoPict="0" macro="[0]!PastePhoto_4W">
                <anchor moveWithCells="1" sizeWithCells="1">
                  <from>
                    <xdr:col>7</xdr:col>
                    <xdr:colOff>0</xdr:colOff>
                    <xdr:row>171</xdr:row>
                    <xdr:rowOff>0</xdr:rowOff>
                  </from>
                  <to>
                    <xdr:col>7</xdr:col>
                    <xdr:colOff>914400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" name="Option Button 116">
              <controlPr defaultSize="0" print="0" autoFill="0" autoLine="0" autoPict="0" macro="[0]!NA_1">
                <anchor moveWithCells="1">
                  <from>
                    <xdr:col>4</xdr:col>
                    <xdr:colOff>38100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" name="Group Box 121">
              <controlPr defaultSize="0" print="0" autoFill="0" autoPict="0">
                <anchor moveWithCells="1">
                  <from>
                    <xdr:col>1</xdr:col>
                    <xdr:colOff>2019300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" name="Option Button 126">
              <controlPr defaultSize="0" autoFill="0" autoLine="0" autoPict="0">
                <anchor moveWithCells="1">
                  <from>
                    <xdr:col>2</xdr:col>
                    <xdr:colOff>38100</xdr:colOff>
                    <xdr:row>51</xdr:row>
                    <xdr:rowOff>0</xdr:rowOff>
                  </from>
                  <to>
                    <xdr:col>3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" name="Option Button 127">
              <controlPr defaultSize="0" autoFill="0" autoLine="0" autoPict="0">
                <anchor moveWithCells="1">
                  <from>
                    <xdr:col>3</xdr:col>
                    <xdr:colOff>38100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4" name="Option Button 128">
              <controlPr defaultSize="0" autoFill="0" autoLine="0" autoPict="0">
                <anchor moveWithCells="1">
                  <from>
                    <xdr:col>4</xdr:col>
                    <xdr:colOff>38100</xdr:colOff>
                    <xdr:row>51</xdr:row>
                    <xdr:rowOff>0</xdr:rowOff>
                  </from>
                  <to>
                    <xdr:col>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5" name="Group Box 129">
              <controlPr defaultSize="0" print="0" autoFill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6" name="Option Button 134">
              <controlPr defaultSize="0" autoFill="0" autoLine="0" autoPict="0">
                <anchor moveWithCells="1">
                  <from>
                    <xdr:col>2</xdr:col>
                    <xdr:colOff>38100</xdr:colOff>
                    <xdr:row>53</xdr:row>
                    <xdr:rowOff>0</xdr:rowOff>
                  </from>
                  <to>
                    <xdr:col>3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7" name="Option Button 135">
              <controlPr defaultSize="0" autoFill="0" autoLine="0" autoPict="0">
                <anchor moveWithCells="1">
                  <from>
                    <xdr:col>3</xdr:col>
                    <xdr:colOff>38100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8" name="Option Button 136">
              <controlPr defaultSize="0" autoFill="0" autoLine="0" autoPict="0">
                <anchor moveWithCells="1">
                  <from>
                    <xdr:col>4</xdr:col>
                    <xdr:colOff>38100</xdr:colOff>
                    <xdr:row>53</xdr:row>
                    <xdr:rowOff>0</xdr:rowOff>
                  </from>
                  <to>
                    <xdr:col>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9" name="Group Box 137">
              <controlPr defaultSize="0" print="0" autoFill="0" autoPict="0">
                <anchor moveWithCells="1">
                  <from>
                    <xdr:col>2</xdr:col>
                    <xdr:colOff>0</xdr:colOff>
                    <xdr:row>53</xdr:row>
                    <xdr:rowOff>0</xdr:rowOff>
                  </from>
                  <to>
                    <xdr:col>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20" name="Option Button 140">
              <controlPr defaultSize="0" print="0" autoFill="0" autoLine="0" autoPict="0" macro="[0]!NA_3">
                <anchor moveWithCells="1">
                  <from>
                    <xdr:col>4</xdr:col>
                    <xdr:colOff>38100</xdr:colOff>
                    <xdr:row>56</xdr:row>
                    <xdr:rowOff>0</xdr:rowOff>
                  </from>
                  <to>
                    <xdr:col>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21" name="Group Box 141">
              <controlPr defaultSize="0" print="0" autoFill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22" name="Option Button 142">
              <controlPr defaultSize="0" autoFill="0" autoLine="0" autoPict="0">
                <anchor moveWithCells="1">
                  <from>
                    <xdr:col>2</xdr:col>
                    <xdr:colOff>38100</xdr:colOff>
                    <xdr:row>56</xdr:row>
                    <xdr:rowOff>251460</xdr:rowOff>
                  </from>
                  <to>
                    <xdr:col>3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23" name="Option Button 143">
              <controlPr defaultSize="0" autoFill="0" autoLine="0" autoPict="0">
                <anchor moveWithCells="1">
                  <from>
                    <xdr:col>3</xdr:col>
                    <xdr:colOff>38100</xdr:colOff>
                    <xdr:row>56</xdr:row>
                    <xdr:rowOff>251460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24" name="Option Button 144">
              <controlPr defaultSize="0" autoFill="0" autoLine="0" autoPict="0">
                <anchor moveWithCells="1">
                  <from>
                    <xdr:col>4</xdr:col>
                    <xdr:colOff>38100</xdr:colOff>
                    <xdr:row>56</xdr:row>
                    <xdr:rowOff>251460</xdr:rowOff>
                  </from>
                  <to>
                    <xdr:col>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25" name="Group Box 145">
              <controlPr defaultSize="0" print="0" autoFill="0" autoPict="0">
                <anchor moveWithCells="1">
                  <from>
                    <xdr:col>2</xdr:col>
                    <xdr:colOff>0</xdr:colOff>
                    <xdr:row>56</xdr:row>
                    <xdr:rowOff>251460</xdr:rowOff>
                  </from>
                  <to>
                    <xdr:col>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26" name="Option Button 154">
              <controlPr defaultSize="0" autoFill="0" autoLine="0" autoPict="0">
                <anchor moveWithCells="1">
                  <from>
                    <xdr:col>2</xdr:col>
                    <xdr:colOff>38100</xdr:colOff>
                    <xdr:row>69</xdr:row>
                    <xdr:rowOff>0</xdr:rowOff>
                  </from>
                  <to>
                    <xdr:col>3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27" name="Option Button 155">
              <controlPr defaultSize="0" autoFill="0" autoLine="0" autoPict="0">
                <anchor moveWithCells="1">
                  <from>
                    <xdr:col>3</xdr:col>
                    <xdr:colOff>38100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28" name="Option Button 156">
              <controlPr defaultSize="0" autoFill="0" autoLine="0" autoPict="0">
                <anchor moveWithCells="1">
                  <from>
                    <xdr:col>4</xdr:col>
                    <xdr:colOff>38100</xdr:colOff>
                    <xdr:row>69</xdr:row>
                    <xdr:rowOff>0</xdr:rowOff>
                  </from>
                  <to>
                    <xdr:col>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29" name="Group Box 157">
              <controlPr defaultSize="0" print="0" autoFill="0" autoPict="0">
                <anchor moveWithCells="1">
                  <from>
                    <xdr:col>2</xdr:col>
                    <xdr:colOff>0</xdr:colOff>
                    <xdr:row>69</xdr:row>
                    <xdr:rowOff>0</xdr:rowOff>
                  </from>
                  <to>
                    <xdr:col>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30" name="Option Button 158">
              <controlPr defaultSize="0" autoFill="0" autoLine="0" autoPict="0">
                <anchor moveWithCells="1">
                  <from>
                    <xdr:col>2</xdr:col>
                    <xdr:colOff>38100</xdr:colOff>
                    <xdr:row>70</xdr:row>
                    <xdr:rowOff>0</xdr:rowOff>
                  </from>
                  <to>
                    <xdr:col>3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31" name="Option Button 159">
              <controlPr defaultSize="0" autoFill="0" autoLine="0" autoPict="0">
                <anchor moveWithCells="1">
                  <from>
                    <xdr:col>3</xdr:col>
                    <xdr:colOff>38100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32" name="Option Button 160">
              <controlPr defaultSize="0" autoFill="0" autoLine="0" autoPict="0">
                <anchor moveWithCells="1">
                  <from>
                    <xdr:col>4</xdr:col>
                    <xdr:colOff>38100</xdr:colOff>
                    <xdr:row>70</xdr:row>
                    <xdr:rowOff>0</xdr:rowOff>
                  </from>
                  <to>
                    <xdr:col>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33" name="Group Box 161">
              <controlPr defaultSize="0" print="0" autoFill="0" autoPict="0">
                <anchor moveWithCells="1">
                  <from>
                    <xdr:col>2</xdr:col>
                    <xdr:colOff>0</xdr:colOff>
                    <xdr:row>70</xdr:row>
                    <xdr:rowOff>0</xdr:rowOff>
                  </from>
                  <to>
                    <xdr:col>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34" name="Option Button 172">
              <controlPr defaultSize="0" print="0" autoFill="0" autoLine="0" autoPict="0" macro="[0]!NA_5">
                <anchor moveWithCells="1">
                  <from>
                    <xdr:col>4</xdr:col>
                    <xdr:colOff>38100</xdr:colOff>
                    <xdr:row>89</xdr:row>
                    <xdr:rowOff>0</xdr:rowOff>
                  </from>
                  <to>
                    <xdr:col>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35" name="Group Box 173">
              <controlPr defaultSize="0" print="0" autoFill="0" autoPict="0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36" name="Option Button 178">
              <controlPr defaultSize="0" autoFill="0" autoLine="0" autoPict="0">
                <anchor moveWithCells="1">
                  <from>
                    <xdr:col>2</xdr:col>
                    <xdr:colOff>38100</xdr:colOff>
                    <xdr:row>91</xdr:row>
                    <xdr:rowOff>0</xdr:rowOff>
                  </from>
                  <to>
                    <xdr:col>3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37" name="Option Button 179">
              <controlPr defaultSize="0" autoFill="0" autoLine="0" autoPict="0">
                <anchor moveWithCells="1">
                  <from>
                    <xdr:col>3</xdr:col>
                    <xdr:colOff>38100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38" name="Option Button 180">
              <controlPr defaultSize="0" autoFill="0" autoLine="0" autoPict="0">
                <anchor moveWithCells="1">
                  <from>
                    <xdr:col>4</xdr:col>
                    <xdr:colOff>38100</xdr:colOff>
                    <xdr:row>91</xdr:row>
                    <xdr:rowOff>0</xdr:rowOff>
                  </from>
                  <to>
                    <xdr:col>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39" name="Group Box 181">
              <controlPr defaultSize="0" print="0" autoFill="0" autoPict="0">
                <anchor moveWithCells="1">
                  <from>
                    <xdr:col>2</xdr:col>
                    <xdr:colOff>0</xdr:colOff>
                    <xdr:row>91</xdr:row>
                    <xdr:rowOff>0</xdr:rowOff>
                  </from>
                  <to>
                    <xdr:col>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40" name="Button 323">
              <controlPr defaultSize="0" print="0" autoFill="0" autoPict="0" macro="[0]!PastePhoto_5W">
                <anchor moveWithCells="1" sizeWithCells="1">
                  <from>
                    <xdr:col>7</xdr:col>
                    <xdr:colOff>0</xdr:colOff>
                    <xdr:row>184</xdr:row>
                    <xdr:rowOff>0</xdr:rowOff>
                  </from>
                  <to>
                    <xdr:col>7</xdr:col>
                    <xdr:colOff>914400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41" name="Button 324">
              <controlPr defaultSize="0" print="0" autoFill="0" autoPict="0" macro="[0]!PastePhoto_6W">
                <anchor moveWithCells="1" sizeWithCells="1">
                  <from>
                    <xdr:col>7</xdr:col>
                    <xdr:colOff>0</xdr:colOff>
                    <xdr:row>195</xdr:row>
                    <xdr:rowOff>0</xdr:rowOff>
                  </from>
                  <to>
                    <xdr:col>7</xdr:col>
                    <xdr:colOff>914400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42" name="Button 326">
              <controlPr defaultSize="0" print="0" autoFill="0" autoPict="0" macro="[0]!PastePhoto_7W">
                <anchor moveWithCells="1" sizeWithCells="1">
                  <from>
                    <xdr:col>7</xdr:col>
                    <xdr:colOff>0</xdr:colOff>
                    <xdr:row>206</xdr:row>
                    <xdr:rowOff>0</xdr:rowOff>
                  </from>
                  <to>
                    <xdr:col>7</xdr:col>
                    <xdr:colOff>914400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43" name="Button 327">
              <controlPr defaultSize="0" print="0" autoFill="0" autoPict="0" macro="[0]!PastePhoto_8W">
                <anchor moveWithCells="1" sizeWithCells="1">
                  <from>
                    <xdr:col>7</xdr:col>
                    <xdr:colOff>0</xdr:colOff>
                    <xdr:row>217</xdr:row>
                    <xdr:rowOff>0</xdr:rowOff>
                  </from>
                  <to>
                    <xdr:col>7</xdr:col>
                    <xdr:colOff>914400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44" name="Button 333">
              <controlPr defaultSize="0" print="0" autoFill="0" autoPict="0" macro="[0]!Clear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" r:id="rId45" name="Alt Enter Note">
              <controlPr defaultSize="0" print="0" autoFill="0" autoPict="0" macro="[0]!Note">
                <anchor moveWithCells="1" sizeWithCells="1">
                  <from>
                    <xdr:col>5</xdr:col>
                    <xdr:colOff>30480</xdr:colOff>
                    <xdr:row>7</xdr:row>
                    <xdr:rowOff>7620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" r:id="rId46" name="Summary Image Button">
              <controlPr defaultSize="0" print="0" autoFill="0" autoPict="0" macro="[0]!PasteImage">
                <anchor moveWithCells="1" sizeWithCells="1">
                  <from>
                    <xdr:col>0</xdr:col>
                    <xdr:colOff>609600</xdr:colOff>
                    <xdr:row>40</xdr:row>
                    <xdr:rowOff>144780</xdr:rowOff>
                  </from>
                  <to>
                    <xdr:col>7</xdr:col>
                    <xdr:colOff>502920</xdr:colOff>
                    <xdr:row>41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47" name="Option Button 698">
              <controlPr defaultSize="0" autoFill="0" autoLine="0" autoPict="0">
                <anchor moveWithCells="1">
                  <from>
                    <xdr:col>2</xdr:col>
                    <xdr:colOff>38100</xdr:colOff>
                    <xdr:row>90</xdr:row>
                    <xdr:rowOff>0</xdr:rowOff>
                  </from>
                  <to>
                    <xdr:col>3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48" name="Option Button 699">
              <controlPr defaultSize="0" autoFill="0" autoLine="0" autoPict="0">
                <anchor moveWithCells="1">
                  <from>
                    <xdr:col>3</xdr:col>
                    <xdr:colOff>38100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49" name="Option Button 700">
              <controlPr defaultSize="0" autoFill="0" autoLine="0" autoPict="0">
                <anchor moveWithCells="1">
                  <from>
                    <xdr:col>4</xdr:col>
                    <xdr:colOff>38100</xdr:colOff>
                    <xdr:row>90</xdr:row>
                    <xdr:rowOff>0</xdr:rowOff>
                  </from>
                  <to>
                    <xdr:col>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" r:id="rId50" name="Group Box 767">
              <controlPr defaultSize="0" print="0" autoFill="0" autoPict="0">
                <anchor moveWithCells="1">
                  <from>
                    <xdr:col>2</xdr:col>
                    <xdr:colOff>0</xdr:colOff>
                    <xdr:row>90</xdr:row>
                    <xdr:rowOff>0</xdr:rowOff>
                  </from>
                  <to>
                    <xdr:col>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" r:id="rId51" name="Group Box 768">
              <controlPr defaultSize="0" print="0" autoFill="0" autoPict="0">
                <anchor moveWithCells="1">
                  <from>
                    <xdr:col>2</xdr:col>
                    <xdr:colOff>0</xdr:colOff>
                    <xdr:row>100</xdr:row>
                    <xdr:rowOff>0</xdr:rowOff>
                  </from>
                  <to>
                    <xdr:col>5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" r:id="rId52" name="Group Box 774">
              <controlPr defaultSize="0" print="0" autoFill="0" autoPict="0">
                <anchor mov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5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" r:id="rId53" name="Group Box 775">
              <controlPr defaultSize="0" print="0" autoFill="0" autoPict="0">
                <anchor moveWithCells="1">
                  <from>
                    <xdr:col>2</xdr:col>
                    <xdr:colOff>0</xdr:colOff>
                    <xdr:row>103</xdr:row>
                    <xdr:rowOff>0</xdr:rowOff>
                  </from>
                  <to>
                    <xdr:col>5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" r:id="rId54" name="Group Box 776">
              <controlPr defaultSize="0" print="0" autoFill="0" autoPict="0">
                <anchor moveWithCells="1">
                  <from>
                    <xdr:col>2</xdr:col>
                    <xdr:colOff>0</xdr:colOff>
                    <xdr:row>104</xdr:row>
                    <xdr:rowOff>0</xdr:rowOff>
                  </from>
                  <to>
                    <xdr:col>5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9" r:id="rId55" name="Group Box 777">
              <controlPr defaultSize="0" print="0" autoFill="0" autoPict="0">
                <anchor moveWithCells="1">
                  <from>
                    <xdr:col>2</xdr:col>
                    <xdr:colOff>0</xdr:colOff>
                    <xdr:row>105</xdr:row>
                    <xdr:rowOff>0</xdr:rowOff>
                  </from>
                  <to>
                    <xdr:col>5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" r:id="rId56" name="Group Box 778">
              <controlPr defaultSize="0" print="0" autoFill="0" autoPict="0">
                <anchor moveWithCells="1">
                  <from>
                    <xdr:col>2</xdr:col>
                    <xdr:colOff>0</xdr:colOff>
                    <xdr:row>106</xdr:row>
                    <xdr:rowOff>0</xdr:rowOff>
                  </from>
                  <to>
                    <xdr:col>5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" r:id="rId57" name="Group Box 779">
              <controlPr defaultSize="0" print="0" autoFill="0" autoPict="0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5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7" r:id="rId58" name="Group Box 785">
              <controlPr defaultSize="0" print="0" autoFill="0" autoPict="0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5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59" name="Group Box 786">
              <controlPr defaultSize="0" print="0" autoFill="0" autoPict="0">
                <anchor moveWithCells="1">
                  <from>
                    <xdr:col>2</xdr:col>
                    <xdr:colOff>0</xdr:colOff>
                    <xdr:row>108</xdr:row>
                    <xdr:rowOff>0</xdr:rowOff>
                  </from>
                  <to>
                    <xdr:col>5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60" name="Group Box 787">
              <controlPr defaultSize="0" print="0" autoFill="0" autoPict="0">
                <anchor moveWithCells="1">
                  <from>
                    <xdr:col>2</xdr:col>
                    <xdr:colOff>0</xdr:colOff>
                    <xdr:row>109</xdr:row>
                    <xdr:rowOff>0</xdr:rowOff>
                  </from>
                  <to>
                    <xdr:col>5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8" r:id="rId61" name="Group Box 796">
              <controlPr defaultSize="0" print="0" autoFill="0" autoPict="0">
                <anchor moveWithCells="1">
                  <from>
                    <xdr:col>2</xdr:col>
                    <xdr:colOff>0</xdr:colOff>
                    <xdr:row>111</xdr:row>
                    <xdr:rowOff>0</xdr:rowOff>
                  </from>
                  <to>
                    <xdr:col>5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9" r:id="rId62" name="Group Box 797">
              <controlPr defaultSize="0" print="0" autoFill="0" autoPict="0">
                <anchor moveWithCells="1">
                  <from>
                    <xdr:col>2</xdr:col>
                    <xdr:colOff>0</xdr:colOff>
                    <xdr:row>110</xdr:row>
                    <xdr:rowOff>0</xdr:rowOff>
                  </from>
                  <to>
                    <xdr:col>5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6" r:id="rId63" name="Option Button 804">
              <controlPr defaultSize="0" autoFill="0" autoLine="0" autoPict="0">
                <anchor moveWithCells="1">
                  <from>
                    <xdr:col>2</xdr:col>
                    <xdr:colOff>38100</xdr:colOff>
                    <xdr:row>100</xdr:row>
                    <xdr:rowOff>0</xdr:rowOff>
                  </from>
                  <to>
                    <xdr:col>3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64" name="Option Button 805">
              <controlPr defaultSize="0" autoFill="0" autoLine="0" autoPict="0">
                <anchor moveWithCells="1">
                  <from>
                    <xdr:col>3</xdr:col>
                    <xdr:colOff>38100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65" name="Option Button 806">
              <controlPr defaultSize="0" autoFill="0" autoLine="0" autoPict="0">
                <anchor moveWithCells="1">
                  <from>
                    <xdr:col>4</xdr:col>
                    <xdr:colOff>38100</xdr:colOff>
                    <xdr:row>100</xdr:row>
                    <xdr:rowOff>0</xdr:rowOff>
                  </from>
                  <to>
                    <xdr:col>5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66" name="Option Button 815">
              <controlPr defaultSize="0" print="0" autoFill="0" autoLine="0" autoPict="0" macro="[0]!NA_6">
                <anchor moveWithCells="1">
                  <from>
                    <xdr:col>4</xdr:col>
                    <xdr:colOff>38100</xdr:colOff>
                    <xdr:row>102</xdr:row>
                    <xdr:rowOff>0</xdr:rowOff>
                  </from>
                  <to>
                    <xdr:col>5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67" name="Option Button 829">
              <controlPr defaultSize="0" autoFill="0" autoLine="0" autoPict="0">
                <anchor moveWithCells="1">
                  <from>
                    <xdr:col>2</xdr:col>
                    <xdr:colOff>38100</xdr:colOff>
                    <xdr:row>103</xdr:row>
                    <xdr:rowOff>0</xdr:rowOff>
                  </from>
                  <to>
                    <xdr:col>3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68" name="Option Button 830">
              <controlPr defaultSize="0" autoFill="0" autoLine="0" autoPict="0">
                <anchor moveWithCells="1">
                  <from>
                    <xdr:col>3</xdr:col>
                    <xdr:colOff>38100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69" name="Option Button 831">
              <controlPr defaultSize="0" autoFill="0" autoLine="0" autoPict="0">
                <anchor moveWithCells="1">
                  <from>
                    <xdr:col>4</xdr:col>
                    <xdr:colOff>38100</xdr:colOff>
                    <xdr:row>103</xdr:row>
                    <xdr:rowOff>0</xdr:rowOff>
                  </from>
                  <to>
                    <xdr:col>5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70" name="Option Button 833">
              <controlPr defaultSize="0" autoFill="0" autoLine="0" autoPict="0">
                <anchor moveWithCells="1">
                  <from>
                    <xdr:col>2</xdr:col>
                    <xdr:colOff>38100</xdr:colOff>
                    <xdr:row>104</xdr:row>
                    <xdr:rowOff>0</xdr:rowOff>
                  </from>
                  <to>
                    <xdr:col>3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71" name="Option Button 834">
              <controlPr defaultSize="0" autoFill="0" autoLine="0" autoPict="0">
                <anchor moveWithCells="1">
                  <from>
                    <xdr:col>3</xdr:col>
                    <xdr:colOff>38100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72" name="Option Button 835">
              <controlPr defaultSize="0" autoFill="0" autoLine="0" autoPict="0">
                <anchor moveWithCells="1">
                  <from>
                    <xdr:col>4</xdr:col>
                    <xdr:colOff>38100</xdr:colOff>
                    <xdr:row>104</xdr:row>
                    <xdr:rowOff>0</xdr:rowOff>
                  </from>
                  <to>
                    <xdr:col>5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73" name="Option Button 837">
              <controlPr defaultSize="0" autoFill="0" autoLine="0" autoPict="0">
                <anchor moveWithCells="1">
                  <from>
                    <xdr:col>2</xdr:col>
                    <xdr:colOff>38100</xdr:colOff>
                    <xdr:row>105</xdr:row>
                    <xdr:rowOff>0</xdr:rowOff>
                  </from>
                  <to>
                    <xdr:col>3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74" name="Option Button 838">
              <controlPr defaultSize="0" autoFill="0" autoLine="0" autoPict="0">
                <anchor moveWithCells="1">
                  <from>
                    <xdr:col>3</xdr:col>
                    <xdr:colOff>38100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75" name="Option Button 839">
              <controlPr defaultSize="0" autoFill="0" autoLine="0" autoPict="0">
                <anchor moveWithCells="1">
                  <from>
                    <xdr:col>4</xdr:col>
                    <xdr:colOff>38100</xdr:colOff>
                    <xdr:row>105</xdr:row>
                    <xdr:rowOff>0</xdr:rowOff>
                  </from>
                  <to>
                    <xdr:col>5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76" name="Option Button 841">
              <controlPr defaultSize="0" autoFill="0" autoLine="0" autoPict="0">
                <anchor moveWithCells="1">
                  <from>
                    <xdr:col>2</xdr:col>
                    <xdr:colOff>38100</xdr:colOff>
                    <xdr:row>106</xdr:row>
                    <xdr:rowOff>0</xdr:rowOff>
                  </from>
                  <to>
                    <xdr:col>3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77" name="Option Button 842">
              <controlPr defaultSize="0" autoFill="0" autoLine="0" autoPict="0">
                <anchor moveWithCells="1">
                  <from>
                    <xdr:col>3</xdr:col>
                    <xdr:colOff>38100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78" name="Option Button 843">
              <controlPr defaultSize="0" autoFill="0" autoLine="0" autoPict="0">
                <anchor moveWithCells="1">
                  <from>
                    <xdr:col>4</xdr:col>
                    <xdr:colOff>38100</xdr:colOff>
                    <xdr:row>106</xdr:row>
                    <xdr:rowOff>0</xdr:rowOff>
                  </from>
                  <to>
                    <xdr:col>5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79" name="Option Button 847">
              <controlPr defaultSize="0" print="0" autoFill="0" autoLine="0" autoPict="0" macro="[0]!NA_7">
                <anchor moveWithCells="1">
                  <from>
                    <xdr:col>4</xdr:col>
                    <xdr:colOff>38100</xdr:colOff>
                    <xdr:row>107</xdr:row>
                    <xdr:rowOff>0</xdr:rowOff>
                  </from>
                  <to>
                    <xdr:col>5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80" name="Option Button 873">
              <controlPr defaultSize="0" autoFill="0" autoLine="0" autoPict="0">
                <anchor moveWithCells="1">
                  <from>
                    <xdr:col>2</xdr:col>
                    <xdr:colOff>38100</xdr:colOff>
                    <xdr:row>108</xdr:row>
                    <xdr:rowOff>0</xdr:rowOff>
                  </from>
                  <to>
                    <xdr:col>3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81" name="Option Button 874">
              <controlPr defaultSize="0" autoFill="0" autoLine="0" autoPict="0">
                <anchor moveWithCells="1">
                  <from>
                    <xdr:col>3</xdr:col>
                    <xdr:colOff>38100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82" name="Option Button 875">
              <controlPr defaultSize="0" autoFill="0" autoLine="0" autoPict="0">
                <anchor moveWithCells="1">
                  <from>
                    <xdr:col>4</xdr:col>
                    <xdr:colOff>38100</xdr:colOff>
                    <xdr:row>108</xdr:row>
                    <xdr:rowOff>0</xdr:rowOff>
                  </from>
                  <to>
                    <xdr:col>5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83" name="Option Button 877">
              <controlPr defaultSize="0" autoFill="0" autoLine="0" autoPict="0">
                <anchor moveWithCells="1">
                  <from>
                    <xdr:col>2</xdr:col>
                    <xdr:colOff>38100</xdr:colOff>
                    <xdr:row>109</xdr:row>
                    <xdr:rowOff>0</xdr:rowOff>
                  </from>
                  <to>
                    <xdr:col>3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84" name="Option Button 878">
              <controlPr defaultSize="0" autoFill="0" autoLine="0" autoPict="0">
                <anchor moveWithCells="1">
                  <from>
                    <xdr:col>3</xdr:col>
                    <xdr:colOff>38100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85" name="Option Button 879">
              <controlPr defaultSize="0" autoFill="0" autoLine="0" autoPict="0">
                <anchor moveWithCells="1">
                  <from>
                    <xdr:col>4</xdr:col>
                    <xdr:colOff>38100</xdr:colOff>
                    <xdr:row>109</xdr:row>
                    <xdr:rowOff>0</xdr:rowOff>
                  </from>
                  <to>
                    <xdr:col>5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86" name="Option Button 881">
              <controlPr defaultSize="0" autoFill="0" autoLine="0" autoPict="0">
                <anchor moveWithCells="1">
                  <from>
                    <xdr:col>2</xdr:col>
                    <xdr:colOff>38100</xdr:colOff>
                    <xdr:row>110</xdr:row>
                    <xdr:rowOff>0</xdr:rowOff>
                  </from>
                  <to>
                    <xdr:col>3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87" name="Option Button 882">
              <controlPr defaultSize="0" autoFill="0" autoLine="0" autoPict="0">
                <anchor moveWithCells="1">
                  <from>
                    <xdr:col>3</xdr:col>
                    <xdr:colOff>38100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88" name="Option Button 883">
              <controlPr defaultSize="0" autoFill="0" autoLine="0" autoPict="0">
                <anchor moveWithCells="1">
                  <from>
                    <xdr:col>4</xdr:col>
                    <xdr:colOff>38100</xdr:colOff>
                    <xdr:row>110</xdr:row>
                    <xdr:rowOff>0</xdr:rowOff>
                  </from>
                  <to>
                    <xdr:col>5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89" name="Option Button 885">
              <controlPr defaultSize="0" autoFill="0" autoLine="0" autoPict="0">
                <anchor moveWithCells="1">
                  <from>
                    <xdr:col>2</xdr:col>
                    <xdr:colOff>38100</xdr:colOff>
                    <xdr:row>111</xdr:row>
                    <xdr:rowOff>0</xdr:rowOff>
                  </from>
                  <to>
                    <xdr:col>3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90" name="Option Button 886">
              <controlPr defaultSize="0" autoFill="0" autoLine="0" autoPict="0">
                <anchor moveWithCells="1">
                  <from>
                    <xdr:col>3</xdr:col>
                    <xdr:colOff>38100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91" name="Option Button 887">
              <controlPr defaultSize="0" autoFill="0" autoLine="0" autoPict="0">
                <anchor moveWithCells="1">
                  <from>
                    <xdr:col>4</xdr:col>
                    <xdr:colOff>38100</xdr:colOff>
                    <xdr:row>111</xdr:row>
                    <xdr:rowOff>0</xdr:rowOff>
                  </from>
                  <to>
                    <xdr:col>5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6" r:id="rId92" name="Group Box 1232">
              <controlPr defaultSize="0" print="0" autoFill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" r:id="rId93" name="Option Button 1233">
              <controlPr defaultSize="0" autoFill="0" autoLine="0" autoPict="0">
                <anchor moveWithCells="1">
                  <from>
                    <xdr:col>2</xdr:col>
                    <xdr:colOff>38100</xdr:colOff>
                    <xdr:row>47</xdr:row>
                    <xdr:rowOff>0</xdr:rowOff>
                  </from>
                  <to>
                    <xdr:col>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8" r:id="rId94" name="Option Button 1234">
              <controlPr defaultSize="0" autoFill="0" autoLine="0" autoPict="0">
                <anchor moveWithCells="1">
                  <from>
                    <xdr:col>3</xdr:col>
                    <xdr:colOff>38100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" r:id="rId95" name="Option Button 1235">
              <controlPr defaultSize="0" autoFill="0" autoLine="0" autoPict="0">
                <anchor moveWithCells="1">
                  <from>
                    <xdr:col>4</xdr:col>
                    <xdr:colOff>38100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0" r:id="rId96" name="Group Box 1236">
              <controlPr defaultSize="0" print="0" autoFill="0" autoPict="0">
                <anchor mov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1" r:id="rId97" name="Option Button 1237">
              <controlPr defaultSize="0" autoFill="0" autoLine="0" autoPict="0">
                <anchor moveWithCells="1">
                  <from>
                    <xdr:col>2</xdr:col>
                    <xdr:colOff>38100</xdr:colOff>
                    <xdr:row>58</xdr:row>
                    <xdr:rowOff>0</xdr:rowOff>
                  </from>
                  <to>
                    <xdr:col>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2" r:id="rId98" name="Option Button 1238">
              <controlPr defaultSize="0" autoFill="0" autoLine="0" autoPict="0">
                <anchor moveWithCells="1">
                  <from>
                    <xdr:col>3</xdr:col>
                    <xdr:colOff>38100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3" r:id="rId99" name="Option Button 1239">
              <controlPr defaultSize="0" autoFill="0" autoLine="0" autoPict="0">
                <anchor moveWithCells="1">
                  <from>
                    <xdr:col>4</xdr:col>
                    <xdr:colOff>38100</xdr:colOff>
                    <xdr:row>58</xdr:row>
                    <xdr:rowOff>0</xdr:rowOff>
                  </from>
                  <to>
                    <xdr:col>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4" r:id="rId100" name="Group Box 1260">
              <controlPr defaultSize="0" print="0" autoFill="0" autoPict="0">
                <anchor moveWithCells="1">
                  <from>
                    <xdr:col>2</xdr:col>
                    <xdr:colOff>0</xdr:colOff>
                    <xdr:row>67</xdr:row>
                    <xdr:rowOff>0</xdr:rowOff>
                  </from>
                  <to>
                    <xdr:col>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5" r:id="rId101" name="Option Button 1261">
              <controlPr defaultSize="0" autoFill="0" autoLine="0" autoPict="0">
                <anchor moveWithCells="1">
                  <from>
                    <xdr:col>2</xdr:col>
                    <xdr:colOff>38100</xdr:colOff>
                    <xdr:row>67</xdr:row>
                    <xdr:rowOff>0</xdr:rowOff>
                  </from>
                  <to>
                    <xdr:col>3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6" r:id="rId102" name="Option Button 1262">
              <controlPr defaultSize="0" autoFill="0" autoLine="0" autoPict="0">
                <anchor moveWithCells="1">
                  <from>
                    <xdr:col>3</xdr:col>
                    <xdr:colOff>38100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7" r:id="rId103" name="Option Button 1263">
              <controlPr defaultSize="0" autoFill="0" autoLine="0" autoPict="0">
                <anchor moveWithCells="1">
                  <from>
                    <xdr:col>4</xdr:col>
                    <xdr:colOff>38100</xdr:colOff>
                    <xdr:row>67</xdr:row>
                    <xdr:rowOff>0</xdr:rowOff>
                  </from>
                  <to>
                    <xdr:col>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2" r:id="rId104" name="Group Box 1268">
              <controlPr defaultSize="0" print="0" autoFill="0" autoPict="0">
                <anchor moveWithCells="1">
                  <from>
                    <xdr:col>2</xdr:col>
                    <xdr:colOff>0</xdr:colOff>
                    <xdr:row>101</xdr:row>
                    <xdr:rowOff>0</xdr:rowOff>
                  </from>
                  <to>
                    <xdr:col>5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3" r:id="rId105" name="Option Button 1269">
              <controlPr defaultSize="0" autoFill="0" autoLine="0" autoPict="0">
                <anchor moveWithCells="1">
                  <from>
                    <xdr:col>2</xdr:col>
                    <xdr:colOff>38100</xdr:colOff>
                    <xdr:row>101</xdr:row>
                    <xdr:rowOff>0</xdr:rowOff>
                  </from>
                  <to>
                    <xdr:col>3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4" r:id="rId106" name="Option Button 1270">
              <controlPr defaultSize="0" autoFill="0" autoLine="0" autoPict="0">
                <anchor moveWithCells="1">
                  <from>
                    <xdr:col>3</xdr:col>
                    <xdr:colOff>38100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5" r:id="rId107" name="Option Button 1271">
              <controlPr defaultSize="0" autoFill="0" autoLine="0" autoPict="0">
                <anchor moveWithCells="1">
                  <from>
                    <xdr:col>4</xdr:col>
                    <xdr:colOff>38100</xdr:colOff>
                    <xdr:row>101</xdr:row>
                    <xdr:rowOff>0</xdr:rowOff>
                  </from>
                  <to>
                    <xdr:col>5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7" r:id="rId108" name="Option Button 1273">
              <controlPr defaultSize="0" print="0" autoFill="0" autoLine="0" autoPict="0" macro="[0]!NA_2">
                <anchor moveWithCells="1">
                  <from>
                    <xdr:col>4</xdr:col>
                    <xdr:colOff>38100</xdr:colOff>
                    <xdr:row>52</xdr:row>
                    <xdr:rowOff>7620</xdr:rowOff>
                  </from>
                  <to>
                    <xdr:col>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8" r:id="rId109" name="Group Box 1274">
              <controlPr defaultSize="0" print="0" autoFill="0" autoPict="0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9" r:id="rId110" name="Group Box 1275">
              <controlPr defaultSize="0" print="0" autoFill="0" autoPict="0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6" r:id="rId111" name="Group Box 1282">
              <controlPr defaultSize="0" print="0" autoFill="0" autoPict="0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7" r:id="rId112" name="Option Button 1283">
              <controlPr defaultSize="0" print="0" autoFill="0" autoLine="0" autoPict="0" macro="[0]!NA_4">
                <anchor moveWithCells="1">
                  <from>
                    <xdr:col>4</xdr:col>
                    <xdr:colOff>38100</xdr:colOff>
                    <xdr:row>68</xdr:row>
                    <xdr:rowOff>0</xdr:rowOff>
                  </from>
                  <to>
                    <xdr:col>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8" r:id="rId113" name="Group Box 1284">
              <controlPr defaultSize="0" print="0" autoFill="0" autoPict="0">
                <anchor moveWithCells="1">
                  <from>
                    <xdr:col>2</xdr:col>
                    <xdr:colOff>0</xdr:colOff>
                    <xdr:row>92</xdr:row>
                    <xdr:rowOff>0</xdr:rowOff>
                  </from>
                  <to>
                    <xdr:col>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9" r:id="rId114" name="Option Button 1285">
              <controlPr defaultSize="0" autoFill="0" autoLine="0" autoPict="0">
                <anchor moveWithCells="1">
                  <from>
                    <xdr:col>2</xdr:col>
                    <xdr:colOff>38100</xdr:colOff>
                    <xdr:row>92</xdr:row>
                    <xdr:rowOff>0</xdr:rowOff>
                  </from>
                  <to>
                    <xdr:col>3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115" name="Option Button 1286">
              <controlPr defaultSize="0" autoFill="0" autoLine="0" autoPict="0">
                <anchor moveWithCells="1">
                  <from>
                    <xdr:col>3</xdr:col>
                    <xdr:colOff>38100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1" r:id="rId116" name="Option Button 1287">
              <controlPr defaultSize="0" autoFill="0" autoLine="0" autoPict="0">
                <anchor moveWithCells="1">
                  <from>
                    <xdr:col>4</xdr:col>
                    <xdr:colOff>38100</xdr:colOff>
                    <xdr:row>92</xdr:row>
                    <xdr:rowOff>0</xdr:rowOff>
                  </from>
                  <to>
                    <xdr:col>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3" r:id="rId117" name="Group Box 1289">
              <controlPr defaultSize="0" print="0" autoFill="0" autoPict="0">
                <anchor moveWithCells="1">
                  <from>
                    <xdr:col>2</xdr:col>
                    <xdr:colOff>0</xdr:colOff>
                    <xdr:row>79</xdr:row>
                    <xdr:rowOff>0</xdr:rowOff>
                  </from>
                  <to>
                    <xdr:col>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4" r:id="rId118" name="Option Button 1290">
              <controlPr defaultSize="0" autoFill="0" autoLine="0" autoPict="0">
                <anchor moveWithCells="1">
                  <from>
                    <xdr:col>2</xdr:col>
                    <xdr:colOff>38100</xdr:colOff>
                    <xdr:row>79</xdr:row>
                    <xdr:rowOff>0</xdr:rowOff>
                  </from>
                  <to>
                    <xdr:col>3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5" r:id="rId119" name="Option Button 1291">
              <controlPr defaultSize="0" autoFill="0" autoLine="0" autoPict="0">
                <anchor moveWithCells="1">
                  <from>
                    <xdr:col>3</xdr:col>
                    <xdr:colOff>38100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6" r:id="rId120" name="Option Button 1292">
              <controlPr defaultSize="0" autoFill="0" autoLine="0" autoPict="0">
                <anchor moveWithCells="1">
                  <from>
                    <xdr:col>4</xdr:col>
                    <xdr:colOff>38100</xdr:colOff>
                    <xdr:row>79</xdr:row>
                    <xdr:rowOff>0</xdr:rowOff>
                  </from>
                  <to>
                    <xdr:col>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8" r:id="rId121" name="Button 1294">
              <controlPr defaultSize="0" print="0" autoFill="0" autoPict="0" macro="[0]!PastePhoto_1">
                <anchor moveWithCells="1" sizeWithCells="1">
                  <from>
                    <xdr:col>7</xdr:col>
                    <xdr:colOff>0</xdr:colOff>
                    <xdr:row>135</xdr:row>
                    <xdr:rowOff>0</xdr:rowOff>
                  </from>
                  <to>
                    <xdr:col>7</xdr:col>
                    <xdr:colOff>914400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9" r:id="rId122" name="Button 1295">
              <controlPr defaultSize="0" print="0" autoFill="0" autoPict="0" macro="[0]!PastePhoto_2">
                <anchor moveWithCells="1" sizeWithCells="1">
                  <from>
                    <xdr:col>7</xdr:col>
                    <xdr:colOff>0</xdr:colOff>
                    <xdr:row>146</xdr:row>
                    <xdr:rowOff>0</xdr:rowOff>
                  </from>
                  <to>
                    <xdr:col>7</xdr:col>
                    <xdr:colOff>914400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0" r:id="rId123" name="Button 1296">
              <controlPr defaultSize="0" print="0" autoFill="0" autoPict="0" macro="[0]!PastePhoto_3">
                <anchor moveWithCells="1" sizeWithCells="1">
                  <from>
                    <xdr:col>7</xdr:col>
                    <xdr:colOff>0</xdr:colOff>
                    <xdr:row>157</xdr:row>
                    <xdr:rowOff>0</xdr:rowOff>
                  </from>
                  <to>
                    <xdr:col>7</xdr:col>
                    <xdr:colOff>914400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1" r:id="rId124" name="Button 1297">
              <controlPr defaultSize="0" print="0" autoFill="0" autoPict="0" macro="[0]!PastePhoto_4">
                <anchor moveWithCells="1" sizeWithCells="1">
                  <from>
                    <xdr:col>7</xdr:col>
                    <xdr:colOff>0</xdr:colOff>
                    <xdr:row>168</xdr:row>
                    <xdr:rowOff>0</xdr:rowOff>
                  </from>
                  <to>
                    <xdr:col>7</xdr:col>
                    <xdr:colOff>914400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2" r:id="rId125" name="Button 1298">
              <controlPr defaultSize="0" print="0" autoFill="0" autoPict="0" macro="[0]!PastePhoto_5">
                <anchor moveWithCells="1" sizeWithCells="1">
                  <from>
                    <xdr:col>7</xdr:col>
                    <xdr:colOff>0</xdr:colOff>
                    <xdr:row>181</xdr:row>
                    <xdr:rowOff>0</xdr:rowOff>
                  </from>
                  <to>
                    <xdr:col>7</xdr:col>
                    <xdr:colOff>914400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3" r:id="rId126" name="Button 1299">
              <controlPr defaultSize="0" print="0" autoFill="0" autoPict="0" macro="[0]!PastePhoto_6">
                <anchor moveWithCells="1" sizeWithCells="1">
                  <from>
                    <xdr:col>7</xdr:col>
                    <xdr:colOff>0</xdr:colOff>
                    <xdr:row>192</xdr:row>
                    <xdr:rowOff>0</xdr:rowOff>
                  </from>
                  <to>
                    <xdr:col>7</xdr:col>
                    <xdr:colOff>914400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5" r:id="rId127" name="Button 1301">
              <controlPr defaultSize="0" print="0" autoFill="0" autoPict="0" macro="[0]!PastePhoto_7">
                <anchor moveWithCells="1" sizeWithCells="1">
                  <from>
                    <xdr:col>7</xdr:col>
                    <xdr:colOff>0</xdr:colOff>
                    <xdr:row>203</xdr:row>
                    <xdr:rowOff>0</xdr:rowOff>
                  </from>
                  <to>
                    <xdr:col>7</xdr:col>
                    <xdr:colOff>914400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6" r:id="rId128" name="Button 1302">
              <controlPr defaultSize="0" print="0" autoFill="0" autoPict="0" macro="[0]!PastePhoto_8">
                <anchor moveWithCells="1" sizeWithCells="1">
                  <from>
                    <xdr:col>7</xdr:col>
                    <xdr:colOff>0</xdr:colOff>
                    <xdr:row>214</xdr:row>
                    <xdr:rowOff>0</xdr:rowOff>
                  </from>
                  <to>
                    <xdr:col>7</xdr:col>
                    <xdr:colOff>914400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7" r:id="rId129" name="Button 1303">
              <controlPr defaultSize="0" print="0" autoFill="0" autoPict="0" macro="[0]!CustDetailsUpdate">
                <anchor moveWithCells="1" sizeWithCells="1">
                  <from>
                    <xdr:col>6</xdr:col>
                    <xdr:colOff>807720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9" r:id="rId130" name="Group Box 1305">
              <controlPr defaultSize="0" print="0" autoFill="0" autoPict="0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0" r:id="rId131" name="Option Button 1306">
              <controlPr defaultSize="0" autoFill="0" autoLine="0" autoPict="0">
                <anchor moveWithCells="1">
                  <from>
                    <xdr:col>2</xdr:col>
                    <xdr:colOff>38100</xdr:colOff>
                    <xdr:row>48</xdr:row>
                    <xdr:rowOff>0</xdr:rowOff>
                  </from>
                  <to>
                    <xdr:col>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1" r:id="rId132" name="Option Button 1307">
              <controlPr defaultSize="0" autoFill="0" autoLine="0" autoPict="0">
                <anchor moveWithCells="1">
                  <from>
                    <xdr:col>3</xdr:col>
                    <xdr:colOff>38100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2" r:id="rId133" name="Option Button 1308">
              <controlPr defaultSize="0" autoFill="0" autoLine="0" autoPict="0">
                <anchor moveWithCells="1">
                  <from>
                    <xdr:col>4</xdr:col>
                    <xdr:colOff>38100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7" r:id="rId134" name="Group Box 1313">
              <controlPr defaultSize="0" print="0" autoFill="0" autoPict="0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8" r:id="rId135" name="Option Button 1314">
              <controlPr defaultSize="0" autoFill="0" autoLine="0" autoPict="0">
                <anchor moveWithCells="1">
                  <from>
                    <xdr:col>2</xdr:col>
                    <xdr:colOff>38100</xdr:colOff>
                    <xdr:row>49</xdr:row>
                    <xdr:rowOff>0</xdr:rowOff>
                  </from>
                  <to>
                    <xdr:col>3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9" r:id="rId136" name="Option Button 1315">
              <controlPr defaultSize="0" autoFill="0" autoLine="0" autoPict="0">
                <anchor moveWithCells="1">
                  <from>
                    <xdr:col>3</xdr:col>
                    <xdr:colOff>38100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0" r:id="rId137" name="Option Button 1316">
              <controlPr defaultSize="0" autoFill="0" autoLine="0" autoPict="0">
                <anchor moveWithCells="1">
                  <from>
                    <xdr:col>4</xdr:col>
                    <xdr:colOff>38100</xdr:colOff>
                    <xdr:row>49</xdr:row>
                    <xdr:rowOff>0</xdr:rowOff>
                  </from>
                  <to>
                    <xdr:col>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1" r:id="rId138" name="Group Box 1317">
              <controlPr defaultSize="0" print="0" autoFill="0" autoPict="0">
                <anchor moveWithCells="1">
                  <from>
                    <xdr:col>1</xdr:col>
                    <xdr:colOff>2019300</xdr:colOff>
                    <xdr:row>50</xdr:row>
                    <xdr:rowOff>0</xdr:rowOff>
                  </from>
                  <to>
                    <xdr:col>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2" r:id="rId139" name="Option Button 1318">
              <controlPr defaultSize="0" autoFill="0" autoLine="0" autoPict="0">
                <anchor moveWithCells="1">
                  <from>
                    <xdr:col>2</xdr:col>
                    <xdr:colOff>38100</xdr:colOff>
                    <xdr:row>50</xdr:row>
                    <xdr:rowOff>0</xdr:rowOff>
                  </from>
                  <to>
                    <xdr:col>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5" r:id="rId140" name="Option Button 1321">
              <controlPr defaultSize="0" autoFill="0" autoLine="0" autoPict="0">
                <anchor moveWithCells="1">
                  <from>
                    <xdr:col>2</xdr:col>
                    <xdr:colOff>38100</xdr:colOff>
                    <xdr:row>55</xdr:row>
                    <xdr:rowOff>0</xdr:rowOff>
                  </from>
                  <to>
                    <xdr:col>3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6" r:id="rId141" name="Option Button 1322">
              <controlPr defaultSize="0" autoFill="0" autoLine="0" autoPict="0">
                <anchor moveWithCells="1">
                  <from>
                    <xdr:col>3</xdr:col>
                    <xdr:colOff>38100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7" r:id="rId142" name="Option Button 1323">
              <controlPr defaultSize="0" autoFill="0" autoLine="0" autoPict="0">
                <anchor moveWithCells="1">
                  <from>
                    <xdr:col>4</xdr:col>
                    <xdr:colOff>38100</xdr:colOff>
                    <xdr:row>55</xdr:row>
                    <xdr:rowOff>0</xdr:rowOff>
                  </from>
                  <to>
                    <xdr:col>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8" r:id="rId143" name="Group Box 1324">
              <controlPr defaultSize="0" print="0" autoFill="0" autoPict="0">
                <anchor moveWithCells="1">
                  <from>
                    <xdr:col>2</xdr:col>
                    <xdr:colOff>0</xdr:colOff>
                    <xdr:row>55</xdr:row>
                    <xdr:rowOff>0</xdr:rowOff>
                  </from>
                  <to>
                    <xdr:col>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9" r:id="rId144" name="Option Button 1325">
              <controlPr defaultSize="0" autoFill="0" autoLine="0" autoPict="0">
                <anchor moveWithCells="1">
                  <from>
                    <xdr:col>2</xdr:col>
                    <xdr:colOff>38100</xdr:colOff>
                    <xdr:row>54</xdr:row>
                    <xdr:rowOff>0</xdr:rowOff>
                  </from>
                  <to>
                    <xdr:col>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0" r:id="rId145" name="Option Button 1326">
              <controlPr defaultSize="0" autoFill="0" autoLine="0" autoPict="0">
                <anchor moveWithCells="1">
                  <from>
                    <xdr:col>3</xdr:col>
                    <xdr:colOff>38100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1" r:id="rId146" name="Option Button 1327">
              <controlPr defaultSize="0" autoFill="0" autoLine="0" autoPict="0">
                <anchor moveWithCells="1">
                  <from>
                    <xdr:col>4</xdr:col>
                    <xdr:colOff>38100</xdr:colOff>
                    <xdr:row>54</xdr:row>
                    <xdr:rowOff>0</xdr:rowOff>
                  </from>
                  <to>
                    <xdr:col>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2" r:id="rId147" name="Group Box 1328">
              <controlPr defaultSize="0" print="0" autoFill="0" autoPict="0">
                <anchor moveWithCells="1">
                  <from>
                    <xdr:col>2</xdr:col>
                    <xdr:colOff>0</xdr:colOff>
                    <xdr:row>54</xdr:row>
                    <xdr:rowOff>0</xdr:rowOff>
                  </from>
                  <to>
                    <xdr:col>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3" r:id="rId148" name="Group Box 1329">
              <controlPr defaultSize="0" print="0" autoFill="0" autoPict="0">
                <anchor mov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4" r:id="rId149" name="Option Button 1330">
              <controlPr defaultSize="0" autoFill="0" autoLine="0" autoPict="0">
                <anchor moveWithCells="1">
                  <from>
                    <xdr:col>2</xdr:col>
                    <xdr:colOff>38100</xdr:colOff>
                    <xdr:row>66</xdr:row>
                    <xdr:rowOff>0</xdr:rowOff>
                  </from>
                  <to>
                    <xdr:col>3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" r:id="rId150" name="Option Button 1331">
              <controlPr defaultSize="0" autoFill="0" autoLine="0" autoPict="0">
                <anchor moveWithCells="1">
                  <from>
                    <xdr:col>3</xdr:col>
                    <xdr:colOff>38100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" r:id="rId151" name="Option Button 1332">
              <controlPr defaultSize="0" autoFill="0" autoLine="0" autoPict="0">
                <anchor moveWithCells="1">
                  <from>
                    <xdr:col>4</xdr:col>
                    <xdr:colOff>38100</xdr:colOff>
                    <xdr:row>66</xdr:row>
                    <xdr:rowOff>0</xdr:rowOff>
                  </from>
                  <to>
                    <xdr:col>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" r:id="rId152" name="Group Box 1333">
              <controlPr defaultSize="0" print="0" autoFill="0" autoPict="0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" r:id="rId153" name="Option Button 1334">
              <controlPr defaultSize="0" autoFill="0" autoLine="0" autoPict="0">
                <anchor moveWithCells="1">
                  <from>
                    <xdr:col>2</xdr:col>
                    <xdr:colOff>38100</xdr:colOff>
                    <xdr:row>71</xdr:row>
                    <xdr:rowOff>0</xdr:rowOff>
                  </from>
                  <to>
                    <xdr:col>3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" r:id="rId154" name="Option Button 1335">
              <controlPr defaultSize="0" autoFill="0" autoLine="0" autoPict="0">
                <anchor moveWithCells="1">
                  <from>
                    <xdr:col>3</xdr:col>
                    <xdr:colOff>38100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0" r:id="rId155" name="Option Button 1336">
              <controlPr defaultSize="0" autoFill="0" autoLine="0" autoPict="0">
                <anchor moveWithCells="1">
                  <from>
                    <xdr:col>4</xdr:col>
                    <xdr:colOff>38100</xdr:colOff>
                    <xdr:row>71</xdr:row>
                    <xdr:rowOff>0</xdr:rowOff>
                  </from>
                  <to>
                    <xdr:col>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1" r:id="rId156" name="Group Box 1337">
              <controlPr defaultSize="0" print="0" autoFill="0" autoPict="0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2" r:id="rId157" name="Option Button 1338">
              <controlPr defaultSize="0" autoFill="0" autoLine="0" autoPict="0">
                <anchor moveWithCells="1">
                  <from>
                    <xdr:col>2</xdr:col>
                    <xdr:colOff>38100</xdr:colOff>
                    <xdr:row>77</xdr:row>
                    <xdr:rowOff>0</xdr:rowOff>
                  </from>
                  <to>
                    <xdr:col>3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" r:id="rId158" name="Option Button 1339">
              <controlPr defaultSize="0" autoFill="0" autoLine="0" autoPict="0">
                <anchor moveWithCells="1">
                  <from>
                    <xdr:col>3</xdr:col>
                    <xdr:colOff>38100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" r:id="rId159" name="Option Button 1340">
              <controlPr defaultSize="0" autoFill="0" autoLine="0" autoPict="0">
                <anchor moveWithCells="1">
                  <from>
                    <xdr:col>4</xdr:col>
                    <xdr:colOff>38100</xdr:colOff>
                    <xdr:row>77</xdr:row>
                    <xdr:rowOff>0</xdr:rowOff>
                  </from>
                  <to>
                    <xdr:col>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5" r:id="rId160" name="Group Box 1341">
              <controlPr defaultSize="0" print="0" autoFill="0" autoPict="0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6" r:id="rId161" name="Option Button 1342">
              <controlPr defaultSize="0" autoFill="0" autoLine="0" autoPict="0">
                <anchor moveWithCells="1">
                  <from>
                    <xdr:col>2</xdr:col>
                    <xdr:colOff>38100</xdr:colOff>
                    <xdr:row>76</xdr:row>
                    <xdr:rowOff>0</xdr:rowOff>
                  </from>
                  <to>
                    <xdr:col>3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7" r:id="rId162" name="Option Button 1343">
              <controlPr defaultSize="0" autoFill="0" autoLine="0" autoPict="0">
                <anchor moveWithCells="1">
                  <from>
                    <xdr:col>3</xdr:col>
                    <xdr:colOff>38100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8" r:id="rId163" name="Option Button 1344">
              <controlPr defaultSize="0" autoFill="0" autoLine="0" autoPict="0">
                <anchor moveWithCells="1">
                  <from>
                    <xdr:col>4</xdr:col>
                    <xdr:colOff>38100</xdr:colOff>
                    <xdr:row>76</xdr:row>
                    <xdr:rowOff>0</xdr:rowOff>
                  </from>
                  <to>
                    <xdr:col>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9" r:id="rId164" name="Group Box 1345">
              <controlPr defaultSize="0" print="0" autoFill="0" autoPict="0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0" r:id="rId165" name="Option Button 1346">
              <controlPr defaultSize="0" autoFill="0" autoLine="0" autoPict="0">
                <anchor moveWithCells="1">
                  <from>
                    <xdr:col>2</xdr:col>
                    <xdr:colOff>38100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1" r:id="rId166" name="Option Button 1347">
              <controlPr defaultSize="0" autoFill="0" autoLine="0" autoPict="0">
                <anchor moveWithCells="1">
                  <from>
                    <xdr:col>3</xdr:col>
                    <xdr:colOff>38100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2" r:id="rId167" name="Option Button 1348">
              <controlPr defaultSize="0" autoFill="0" autoLine="0" autoPict="0">
                <anchor moveWithCells="1">
                  <from>
                    <xdr:col>4</xdr:col>
                    <xdr:colOff>38100</xdr:colOff>
                    <xdr:row>75</xdr:row>
                    <xdr:rowOff>0</xdr:rowOff>
                  </from>
                  <to>
                    <xdr:col>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3" r:id="rId168" name="Group Box 1349">
              <controlPr defaultSize="0" print="0" autoFill="0" autoPict="0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4" r:id="rId169" name="Option Button 1350">
              <controlPr defaultSize="0" autoFill="0" autoLine="0" autoPict="0">
                <anchor moveWithCells="1">
                  <from>
                    <xdr:col>2</xdr:col>
                    <xdr:colOff>38100</xdr:colOff>
                    <xdr:row>74</xdr:row>
                    <xdr:rowOff>0</xdr:rowOff>
                  </from>
                  <to>
                    <xdr:col>3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5" r:id="rId170" name="Option Button 1351">
              <controlPr defaultSize="0" autoFill="0" autoLine="0" autoPict="0">
                <anchor moveWithCells="1">
                  <from>
                    <xdr:col>3</xdr:col>
                    <xdr:colOff>38100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6" r:id="rId171" name="Option Button 1352">
              <controlPr defaultSize="0" autoFill="0" autoLine="0" autoPict="0">
                <anchor moveWithCells="1">
                  <from>
                    <xdr:col>4</xdr:col>
                    <xdr:colOff>38100</xdr:colOff>
                    <xdr:row>74</xdr:row>
                    <xdr:rowOff>0</xdr:rowOff>
                  </from>
                  <to>
                    <xdr:col>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7" r:id="rId172" name="Group Box 1353">
              <controlPr defaultSize="0" print="0" autoFill="0" autoPict="0">
                <anchor moveWithCells="1">
                  <from>
                    <xdr:col>2</xdr:col>
                    <xdr:colOff>0</xdr:colOff>
                    <xdr:row>73</xdr:row>
                    <xdr:rowOff>0</xdr:rowOff>
                  </from>
                  <to>
                    <xdr:col>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8" r:id="rId173" name="Option Button 1354">
              <controlPr defaultSize="0" autoFill="0" autoLine="0" autoPict="0">
                <anchor moveWithCells="1">
                  <from>
                    <xdr:col>2</xdr:col>
                    <xdr:colOff>38100</xdr:colOff>
                    <xdr:row>73</xdr:row>
                    <xdr:rowOff>0</xdr:rowOff>
                  </from>
                  <to>
                    <xdr:col>3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9" r:id="rId174" name="Option Button 1355">
              <controlPr defaultSize="0" autoFill="0" autoLine="0" autoPict="0">
                <anchor moveWithCells="1">
                  <from>
                    <xdr:col>3</xdr:col>
                    <xdr:colOff>38100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0" r:id="rId175" name="Option Button 1356">
              <controlPr defaultSize="0" autoFill="0" autoLine="0" autoPict="0">
                <anchor moveWithCells="1">
                  <from>
                    <xdr:col>4</xdr:col>
                    <xdr:colOff>38100</xdr:colOff>
                    <xdr:row>73</xdr:row>
                    <xdr:rowOff>0</xdr:rowOff>
                  </from>
                  <to>
                    <xdr:col>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1" r:id="rId176" name="Group Box 1357">
              <controlPr defaultSize="0" print="0" autoFill="0" autoPict="0">
                <anchor moveWithCells="1">
                  <from>
                    <xdr:col>2</xdr:col>
                    <xdr:colOff>0</xdr:colOff>
                    <xdr:row>72</xdr:row>
                    <xdr:rowOff>0</xdr:rowOff>
                  </from>
                  <to>
                    <xdr:col>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2" r:id="rId177" name="Option Button 1358">
              <controlPr defaultSize="0" autoFill="0" autoLine="0" autoPict="0">
                <anchor moveWithCells="1">
                  <from>
                    <xdr:col>2</xdr:col>
                    <xdr:colOff>38100</xdr:colOff>
                    <xdr:row>72</xdr:row>
                    <xdr:rowOff>0</xdr:rowOff>
                  </from>
                  <to>
                    <xdr:col>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3" r:id="rId178" name="Option Button 1359">
              <controlPr defaultSize="0" autoFill="0" autoLine="0" autoPict="0">
                <anchor moveWithCells="1">
                  <from>
                    <xdr:col>3</xdr:col>
                    <xdr:colOff>38100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4" r:id="rId179" name="Option Button 1360">
              <controlPr defaultSize="0" autoFill="0" autoLine="0" autoPict="0">
                <anchor moveWithCells="1">
                  <from>
                    <xdr:col>4</xdr:col>
                    <xdr:colOff>38100</xdr:colOff>
                    <xdr:row>72</xdr:row>
                    <xdr:rowOff>0</xdr:rowOff>
                  </from>
                  <to>
                    <xdr:col>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5" r:id="rId180" name="Group Box 1361">
              <controlPr defaultSize="0" print="0" autoFill="0" autoPict="0">
                <anchor moveWithCells="1">
                  <from>
                    <xdr:col>2</xdr:col>
                    <xdr:colOff>0</xdr:colOff>
                    <xdr:row>65</xdr:row>
                    <xdr:rowOff>0</xdr:rowOff>
                  </from>
                  <to>
                    <xdr:col>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6" r:id="rId181" name="Option Button 1362">
              <controlPr defaultSize="0" autoFill="0" autoLine="0" autoPict="0">
                <anchor moveWithCells="1">
                  <from>
                    <xdr:col>2</xdr:col>
                    <xdr:colOff>38100</xdr:colOff>
                    <xdr:row>65</xdr:row>
                    <xdr:rowOff>0</xdr:rowOff>
                  </from>
                  <to>
                    <xdr:col>3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7" r:id="rId182" name="Option Button 1363">
              <controlPr defaultSize="0" autoFill="0" autoLine="0" autoPict="0">
                <anchor moveWithCells="1">
                  <from>
                    <xdr:col>3</xdr:col>
                    <xdr:colOff>38100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8" r:id="rId183" name="Option Button 1364">
              <controlPr defaultSize="0" autoFill="0" autoLine="0" autoPict="0">
                <anchor moveWithCells="1">
                  <from>
                    <xdr:col>4</xdr:col>
                    <xdr:colOff>38100</xdr:colOff>
                    <xdr:row>65</xdr:row>
                    <xdr:rowOff>0</xdr:rowOff>
                  </from>
                  <to>
                    <xdr:col>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9" r:id="rId184" name="Group Box 1365">
              <controlPr defaultSize="0" print="0" autoFill="0" autoPict="0">
                <anchor moveWithCells="1">
                  <from>
                    <xdr:col>2</xdr:col>
                    <xdr:colOff>0</xdr:colOff>
                    <xdr:row>64</xdr:row>
                    <xdr:rowOff>0</xdr:rowOff>
                  </from>
                  <to>
                    <xdr:col>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0" r:id="rId185" name="Option Button 1366">
              <controlPr defaultSize="0" autoFill="0" autoLine="0" autoPict="0">
                <anchor moveWithCells="1">
                  <from>
                    <xdr:col>2</xdr:col>
                    <xdr:colOff>38100</xdr:colOff>
                    <xdr:row>64</xdr:row>
                    <xdr:rowOff>0</xdr:rowOff>
                  </from>
                  <to>
                    <xdr:col>3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1" r:id="rId186" name="Option Button 1367">
              <controlPr defaultSize="0" autoFill="0" autoLine="0" autoPict="0">
                <anchor moveWithCells="1">
                  <from>
                    <xdr:col>3</xdr:col>
                    <xdr:colOff>38100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2" r:id="rId187" name="Option Button 1368">
              <controlPr defaultSize="0" autoFill="0" autoLine="0" autoPict="0">
                <anchor moveWithCells="1">
                  <from>
                    <xdr:col>4</xdr:col>
                    <xdr:colOff>38100</xdr:colOff>
                    <xdr:row>64</xdr:row>
                    <xdr:rowOff>0</xdr:rowOff>
                  </from>
                  <to>
                    <xdr:col>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3" r:id="rId188" name="Group Box 1369">
              <controlPr defaultSize="0" print="0" autoFill="0" autoPict="0">
                <anchor moveWithCells="1">
                  <from>
                    <xdr:col>2</xdr:col>
                    <xdr:colOff>0</xdr:colOff>
                    <xdr:row>63</xdr:row>
                    <xdr:rowOff>0</xdr:rowOff>
                  </from>
                  <to>
                    <xdr:col>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4" r:id="rId189" name="Option Button 1370">
              <controlPr defaultSize="0" autoFill="0" autoLine="0" autoPict="0">
                <anchor moveWithCells="1">
                  <from>
                    <xdr:col>2</xdr:col>
                    <xdr:colOff>38100</xdr:colOff>
                    <xdr:row>63</xdr:row>
                    <xdr:rowOff>0</xdr:rowOff>
                  </from>
                  <to>
                    <xdr:col>3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5" r:id="rId190" name="Option Button 1371">
              <controlPr defaultSize="0" autoFill="0" autoLine="0" autoPict="0">
                <anchor moveWithCells="1">
                  <from>
                    <xdr:col>3</xdr:col>
                    <xdr:colOff>38100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6" r:id="rId191" name="Option Button 1372">
              <controlPr defaultSize="0" autoFill="0" autoLine="0" autoPict="0">
                <anchor moveWithCells="1">
                  <from>
                    <xdr:col>4</xdr:col>
                    <xdr:colOff>38100</xdr:colOff>
                    <xdr:row>63</xdr:row>
                    <xdr:rowOff>0</xdr:rowOff>
                  </from>
                  <to>
                    <xdr:col>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7" r:id="rId192" name="Group Box 1373">
              <controlPr defaultSize="0" print="0" autoFill="0" autoPict="0">
                <anchor moveWithCells="1">
                  <from>
                    <xdr:col>2</xdr:col>
                    <xdr:colOff>0</xdr:colOff>
                    <xdr:row>62</xdr:row>
                    <xdr:rowOff>0</xdr:rowOff>
                  </from>
                  <to>
                    <xdr:col>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8" r:id="rId193" name="Option Button 1374">
              <controlPr defaultSize="0" autoFill="0" autoLine="0" autoPict="0">
                <anchor moveWithCells="1">
                  <from>
                    <xdr:col>2</xdr:col>
                    <xdr:colOff>38100</xdr:colOff>
                    <xdr:row>62</xdr:row>
                    <xdr:rowOff>0</xdr:rowOff>
                  </from>
                  <to>
                    <xdr:col>3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9" r:id="rId194" name="Option Button 1375">
              <controlPr defaultSize="0" autoFill="0" autoLine="0" autoPict="0">
                <anchor moveWithCells="1">
                  <from>
                    <xdr:col>3</xdr:col>
                    <xdr:colOff>38100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0" r:id="rId195" name="Option Button 1376">
              <controlPr defaultSize="0" autoFill="0" autoLine="0" autoPict="0">
                <anchor moveWithCells="1">
                  <from>
                    <xdr:col>4</xdr:col>
                    <xdr:colOff>38100</xdr:colOff>
                    <xdr:row>62</xdr:row>
                    <xdr:rowOff>0</xdr:rowOff>
                  </from>
                  <to>
                    <xdr:col>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1" r:id="rId196" name="Group Box 1377">
              <controlPr defaultSize="0" print="0" autoFill="0" autoPict="0">
                <anchor moveWithCells="1">
                  <from>
                    <xdr:col>2</xdr:col>
                    <xdr:colOff>0</xdr:colOff>
                    <xdr:row>61</xdr:row>
                    <xdr:rowOff>0</xdr:rowOff>
                  </from>
                  <to>
                    <xdr:col>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2" r:id="rId197" name="Option Button 1378">
              <controlPr defaultSize="0" autoFill="0" autoLine="0" autoPict="0">
                <anchor moveWithCells="1">
                  <from>
                    <xdr:col>2</xdr:col>
                    <xdr:colOff>38100</xdr:colOff>
                    <xdr:row>61</xdr:row>
                    <xdr:rowOff>0</xdr:rowOff>
                  </from>
                  <to>
                    <xdr:col>3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3" r:id="rId198" name="Option Button 1379">
              <controlPr defaultSize="0" autoFill="0" autoLine="0" autoPict="0">
                <anchor moveWithCells="1">
                  <from>
                    <xdr:col>3</xdr:col>
                    <xdr:colOff>38100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4" r:id="rId199" name="Option Button 1380">
              <controlPr defaultSize="0" autoFill="0" autoLine="0" autoPict="0">
                <anchor moveWithCells="1">
                  <from>
                    <xdr:col>4</xdr:col>
                    <xdr:colOff>38100</xdr:colOff>
                    <xdr:row>61</xdr:row>
                    <xdr:rowOff>0</xdr:rowOff>
                  </from>
                  <to>
                    <xdr:col>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5" r:id="rId200" name="Group Box 1381">
              <controlPr defaultSize="0" print="0" autoFill="0" autoPict="0">
                <anchor moveWithCells="1">
                  <from>
                    <xdr:col>2</xdr:col>
                    <xdr:colOff>0</xdr:colOff>
                    <xdr:row>60</xdr:row>
                    <xdr:rowOff>0</xdr:rowOff>
                  </from>
                  <to>
                    <xdr:col>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6" r:id="rId201" name="Option Button 1382">
              <controlPr defaultSize="0" autoFill="0" autoLine="0" autoPict="0">
                <anchor moveWithCells="1">
                  <from>
                    <xdr:col>2</xdr:col>
                    <xdr:colOff>38100</xdr:colOff>
                    <xdr:row>60</xdr:row>
                    <xdr:rowOff>0</xdr:rowOff>
                  </from>
                  <to>
                    <xdr:col>3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7" r:id="rId202" name="Option Button 1383">
              <controlPr defaultSize="0" autoFill="0" autoLine="0" autoPict="0">
                <anchor moveWithCells="1">
                  <from>
                    <xdr:col>3</xdr:col>
                    <xdr:colOff>38100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8" r:id="rId203" name="Option Button 1384">
              <controlPr defaultSize="0" autoFill="0" autoLine="0" autoPict="0">
                <anchor moveWithCells="1">
                  <from>
                    <xdr:col>4</xdr:col>
                    <xdr:colOff>38100</xdr:colOff>
                    <xdr:row>60</xdr:row>
                    <xdr:rowOff>0</xdr:rowOff>
                  </from>
                  <to>
                    <xdr:col>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9" r:id="rId204" name="Group Box 1385">
              <controlPr defaultSize="0" print="0" autoFill="0" autoPict="0">
                <anchor moveWithCells="1">
                  <from>
                    <xdr:col>2</xdr:col>
                    <xdr:colOff>0</xdr:colOff>
                    <xdr:row>59</xdr:row>
                    <xdr:rowOff>0</xdr:rowOff>
                  </from>
                  <to>
                    <xdr:col>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0" r:id="rId205" name="Option Button 1386">
              <controlPr defaultSize="0" autoFill="0" autoLine="0" autoPict="0">
                <anchor moveWithCells="1">
                  <from>
                    <xdr:col>2</xdr:col>
                    <xdr:colOff>38100</xdr:colOff>
                    <xdr:row>59</xdr:row>
                    <xdr:rowOff>0</xdr:rowOff>
                  </from>
                  <to>
                    <xdr:col>3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1" r:id="rId206" name="Option Button 1387">
              <controlPr defaultSize="0" autoFill="0" autoLine="0" autoPict="0">
                <anchor moveWithCells="1">
                  <from>
                    <xdr:col>3</xdr:col>
                    <xdr:colOff>38100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2" r:id="rId207" name="Option Button 1388">
              <controlPr defaultSize="0" autoFill="0" autoLine="0" autoPict="0">
                <anchor moveWithCells="1">
                  <from>
                    <xdr:col>4</xdr:col>
                    <xdr:colOff>38100</xdr:colOff>
                    <xdr:row>59</xdr:row>
                    <xdr:rowOff>0</xdr:rowOff>
                  </from>
                  <to>
                    <xdr:col>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3" r:id="rId208" name="Group Box 1389">
              <controlPr defaultSize="0" print="0" autoFill="0" autoPict="0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4" r:id="rId209" name="Option Button 1390">
              <controlPr defaultSize="0" autoFill="0" autoLine="0" autoPict="0">
                <anchor moveWithCells="1">
                  <from>
                    <xdr:col>2</xdr:col>
                    <xdr:colOff>38100</xdr:colOff>
                    <xdr:row>78</xdr:row>
                    <xdr:rowOff>0</xdr:rowOff>
                  </from>
                  <to>
                    <xdr:col>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5" r:id="rId210" name="Option Button 1391">
              <controlPr defaultSize="0" autoFill="0" autoLine="0" autoPict="0">
                <anchor moveWithCells="1">
                  <from>
                    <xdr:col>3</xdr:col>
                    <xdr:colOff>38100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6" r:id="rId211" name="Option Button 1392">
              <controlPr defaultSize="0" autoFill="0" autoLine="0" autoPict="0">
                <anchor moveWithCells="1">
                  <from>
                    <xdr:col>4</xdr:col>
                    <xdr:colOff>38100</xdr:colOff>
                    <xdr:row>78</xdr:row>
                    <xdr:rowOff>0</xdr:rowOff>
                  </from>
                  <to>
                    <xdr:col>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7" r:id="rId212" name="Group Box 1393">
              <controlPr defaultSize="0" print="0" autoFill="0" autoPict="0">
                <anchor moveWithCells="1">
                  <from>
                    <xdr:col>2</xdr:col>
                    <xdr:colOff>0</xdr:colOff>
                    <xdr:row>99</xdr:row>
                    <xdr:rowOff>0</xdr:rowOff>
                  </from>
                  <to>
                    <xdr:col>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8" r:id="rId213" name="Option Button 1394">
              <controlPr defaultSize="0" autoFill="0" autoLine="0" autoPict="0">
                <anchor moveWithCells="1">
                  <from>
                    <xdr:col>2</xdr:col>
                    <xdr:colOff>38100</xdr:colOff>
                    <xdr:row>99</xdr:row>
                    <xdr:rowOff>0</xdr:rowOff>
                  </from>
                  <to>
                    <xdr:col>3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9" r:id="rId214" name="Option Button 1395">
              <controlPr defaultSize="0" autoFill="0" autoLine="0" autoPict="0">
                <anchor moveWithCells="1">
                  <from>
                    <xdr:col>3</xdr:col>
                    <xdr:colOff>38100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0" r:id="rId215" name="Option Button 1396">
              <controlPr defaultSize="0" autoFill="0" autoLine="0" autoPict="0">
                <anchor moveWithCells="1">
                  <from>
                    <xdr:col>4</xdr:col>
                    <xdr:colOff>38100</xdr:colOff>
                    <xdr:row>99</xdr:row>
                    <xdr:rowOff>0</xdr:rowOff>
                  </from>
                  <to>
                    <xdr:col>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1" r:id="rId216" name="Group Box 1397">
              <controlPr defaultSize="0" print="0" autoFill="0" autoPict="0">
                <anchor moveWithCells="1">
                  <from>
                    <xdr:col>2</xdr:col>
                    <xdr:colOff>0</xdr:colOff>
                    <xdr:row>98</xdr:row>
                    <xdr:rowOff>0</xdr:rowOff>
                  </from>
                  <to>
                    <xdr:col>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2" r:id="rId217" name="Option Button 1398">
              <controlPr defaultSize="0" autoFill="0" autoLine="0" autoPict="0">
                <anchor moveWithCells="1">
                  <from>
                    <xdr:col>2</xdr:col>
                    <xdr:colOff>38100</xdr:colOff>
                    <xdr:row>98</xdr:row>
                    <xdr:rowOff>0</xdr:rowOff>
                  </from>
                  <to>
                    <xdr:col>3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3" r:id="rId218" name="Option Button 1399">
              <controlPr defaultSize="0" autoFill="0" autoLine="0" autoPict="0">
                <anchor moveWithCells="1">
                  <from>
                    <xdr:col>3</xdr:col>
                    <xdr:colOff>38100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4" r:id="rId219" name="Option Button 1400">
              <controlPr defaultSize="0" autoFill="0" autoLine="0" autoPict="0">
                <anchor moveWithCells="1">
                  <from>
                    <xdr:col>4</xdr:col>
                    <xdr:colOff>38100</xdr:colOff>
                    <xdr:row>98</xdr:row>
                    <xdr:rowOff>0</xdr:rowOff>
                  </from>
                  <to>
                    <xdr:col>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5" r:id="rId220" name="Group Box 1401">
              <controlPr defaultSize="0" print="0" autoFill="0" autoPict="0">
                <anchor moveWithCells="1">
                  <from>
                    <xdr:col>2</xdr:col>
                    <xdr:colOff>0</xdr:colOff>
                    <xdr:row>97</xdr:row>
                    <xdr:rowOff>0</xdr:rowOff>
                  </from>
                  <to>
                    <xdr:col>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6" r:id="rId221" name="Option Button 1402">
              <controlPr defaultSize="0" autoFill="0" autoLine="0" autoPict="0">
                <anchor moveWithCells="1">
                  <from>
                    <xdr:col>2</xdr:col>
                    <xdr:colOff>38100</xdr:colOff>
                    <xdr:row>97</xdr:row>
                    <xdr:rowOff>0</xdr:rowOff>
                  </from>
                  <to>
                    <xdr:col>3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7" r:id="rId222" name="Option Button 1403">
              <controlPr defaultSize="0" autoFill="0" autoLine="0" autoPict="0">
                <anchor moveWithCells="1">
                  <from>
                    <xdr:col>3</xdr:col>
                    <xdr:colOff>38100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8" r:id="rId223" name="Option Button 1404">
              <controlPr defaultSize="0" autoFill="0" autoLine="0" autoPict="0">
                <anchor moveWithCells="1">
                  <from>
                    <xdr:col>4</xdr:col>
                    <xdr:colOff>38100</xdr:colOff>
                    <xdr:row>97</xdr:row>
                    <xdr:rowOff>0</xdr:rowOff>
                  </from>
                  <to>
                    <xdr:col>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9" r:id="rId224" name="Group Box 1405">
              <controlPr defaultSize="0" print="0" autoFill="0" autoPict="0">
                <anchor moveWithCells="1">
                  <from>
                    <xdr:col>2</xdr:col>
                    <xdr:colOff>0</xdr:colOff>
                    <xdr:row>96</xdr:row>
                    <xdr:rowOff>0</xdr:rowOff>
                  </from>
                  <to>
                    <xdr:col>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0" r:id="rId225" name="Option Button 1406">
              <controlPr defaultSize="0" autoFill="0" autoLine="0" autoPict="0">
                <anchor moveWithCells="1">
                  <from>
                    <xdr:col>2</xdr:col>
                    <xdr:colOff>38100</xdr:colOff>
                    <xdr:row>96</xdr:row>
                    <xdr:rowOff>0</xdr:rowOff>
                  </from>
                  <to>
                    <xdr:col>3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1" r:id="rId226" name="Option Button 1407">
              <controlPr defaultSize="0" autoFill="0" autoLine="0" autoPict="0">
                <anchor moveWithCells="1">
                  <from>
                    <xdr:col>3</xdr:col>
                    <xdr:colOff>38100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2" r:id="rId227" name="Option Button 1408">
              <controlPr defaultSize="0" autoFill="0" autoLine="0" autoPict="0">
                <anchor moveWithCells="1">
                  <from>
                    <xdr:col>4</xdr:col>
                    <xdr:colOff>38100</xdr:colOff>
                    <xdr:row>96</xdr:row>
                    <xdr:rowOff>0</xdr:rowOff>
                  </from>
                  <to>
                    <xdr:col>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3" r:id="rId228" name="Group Box 1409">
              <controlPr defaultSize="0" print="0" autoFill="0" autoPict="0">
                <anchor moveWithCells="1">
                  <from>
                    <xdr:col>2</xdr:col>
                    <xdr:colOff>0</xdr:colOff>
                    <xdr:row>95</xdr:row>
                    <xdr:rowOff>0</xdr:rowOff>
                  </from>
                  <to>
                    <xdr:col>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4" r:id="rId229" name="Option Button 1410">
              <controlPr defaultSize="0" autoFill="0" autoLine="0" autoPict="0">
                <anchor moveWithCells="1">
                  <from>
                    <xdr:col>2</xdr:col>
                    <xdr:colOff>38100</xdr:colOff>
                    <xdr:row>95</xdr:row>
                    <xdr:rowOff>0</xdr:rowOff>
                  </from>
                  <to>
                    <xdr:col>3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5" r:id="rId230" name="Option Button 1411">
              <controlPr defaultSize="0" autoFill="0" autoLine="0" autoPict="0">
                <anchor moveWithCells="1">
                  <from>
                    <xdr:col>3</xdr:col>
                    <xdr:colOff>38100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6" r:id="rId231" name="Option Button 1412">
              <controlPr defaultSize="0" autoFill="0" autoLine="0" autoPict="0">
                <anchor moveWithCells="1">
                  <from>
                    <xdr:col>4</xdr:col>
                    <xdr:colOff>38100</xdr:colOff>
                    <xdr:row>95</xdr:row>
                    <xdr:rowOff>0</xdr:rowOff>
                  </from>
                  <to>
                    <xdr:col>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7" r:id="rId232" name="Group Box 1413">
              <controlPr defaultSize="0" print="0" autoFill="0" autoPict="0">
                <anchor moveWithCells="1">
                  <from>
                    <xdr:col>2</xdr:col>
                    <xdr:colOff>0</xdr:colOff>
                    <xdr:row>94</xdr:row>
                    <xdr:rowOff>0</xdr:rowOff>
                  </from>
                  <to>
                    <xdr:col>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8" r:id="rId233" name="Option Button 1414">
              <controlPr defaultSize="0" autoFill="0" autoLine="0" autoPict="0">
                <anchor moveWithCells="1">
                  <from>
                    <xdr:col>2</xdr:col>
                    <xdr:colOff>38100</xdr:colOff>
                    <xdr:row>94</xdr:row>
                    <xdr:rowOff>0</xdr:rowOff>
                  </from>
                  <to>
                    <xdr:col>3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9" r:id="rId234" name="Option Button 1415">
              <controlPr defaultSize="0" autoFill="0" autoLine="0" autoPict="0">
                <anchor moveWithCells="1">
                  <from>
                    <xdr:col>3</xdr:col>
                    <xdr:colOff>38100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0" r:id="rId235" name="Option Button 1416">
              <controlPr defaultSize="0" autoFill="0" autoLine="0" autoPict="0">
                <anchor moveWithCells="1">
                  <from>
                    <xdr:col>4</xdr:col>
                    <xdr:colOff>38100</xdr:colOff>
                    <xdr:row>94</xdr:row>
                    <xdr:rowOff>0</xdr:rowOff>
                  </from>
                  <to>
                    <xdr:col>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1" r:id="rId236" name="Group Box 1417">
              <controlPr defaultSize="0" print="0" autoFill="0" autoPict="0">
                <anchor moveWithCells="1">
                  <from>
                    <xdr:col>2</xdr:col>
                    <xdr:colOff>0</xdr:colOff>
                    <xdr:row>93</xdr:row>
                    <xdr:rowOff>0</xdr:rowOff>
                  </from>
                  <to>
                    <xdr:col>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2" r:id="rId237" name="Option Button 1418">
              <controlPr defaultSize="0" autoFill="0" autoLine="0" autoPict="0">
                <anchor moveWithCells="1">
                  <from>
                    <xdr:col>2</xdr:col>
                    <xdr:colOff>38100</xdr:colOff>
                    <xdr:row>93</xdr:row>
                    <xdr:rowOff>0</xdr:rowOff>
                  </from>
                  <to>
                    <xdr:col>3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3" r:id="rId238" name="Option Button 1419">
              <controlPr defaultSize="0" autoFill="0" autoLine="0" autoPict="0">
                <anchor moveWithCells="1">
                  <from>
                    <xdr:col>3</xdr:col>
                    <xdr:colOff>38100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4" r:id="rId239" name="Option Button 1420">
              <controlPr defaultSize="0" autoFill="0" autoLine="0" autoPict="0">
                <anchor moveWithCells="1">
                  <from>
                    <xdr:col>4</xdr:col>
                    <xdr:colOff>38100</xdr:colOff>
                    <xdr:row>93</xdr:row>
                    <xdr:rowOff>0</xdr:rowOff>
                  </from>
                  <to>
                    <xdr:col>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5" r:id="rId240" name="Option Button 1421">
              <controlPr defaultSize="0" autoFill="0" autoLine="0" autoPict="0">
                <anchor moveWithCells="1">
                  <from>
                    <xdr:col>2</xdr:col>
                    <xdr:colOff>38100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6" r:id="rId241" name="Option Button 1422">
              <controlPr defaultSize="0" autoFill="0" autoLine="0" autoPict="0">
                <anchor moveWithCells="1">
                  <from>
                    <xdr:col>3</xdr:col>
                    <xdr:colOff>38100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7" r:id="rId242" name="Option Button 1423">
              <controlPr defaultSize="0" autoFill="0" autoLine="0" autoPict="0">
                <anchor moveWithCells="1">
                  <from>
                    <xdr:col>4</xdr:col>
                    <xdr:colOff>38100</xdr:colOff>
                    <xdr:row>80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8" r:id="rId243" name="Group Box 1424">
              <controlPr defaultSize="0" print="0" autoFill="0" autoPict="0">
                <anchor mov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4" r:id="rId244" name="Option Button 1450">
              <controlPr defaultSize="0" autoFill="0" autoLine="0" autoPict="0">
                <anchor moveWithCells="1">
                  <from>
                    <xdr:col>3</xdr:col>
                    <xdr:colOff>38100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5" r:id="rId245" name="Option Button 1451">
              <controlPr defaultSize="0" autoFill="0" autoLine="0" autoPict="0">
                <anchor moveWithCells="1">
                  <from>
                    <xdr:col>4</xdr:col>
                    <xdr:colOff>38100</xdr:colOff>
                    <xdr:row>50</xdr:row>
                    <xdr:rowOff>0</xdr:rowOff>
                  </from>
                  <to>
                    <xdr:col>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1" r:id="rId246" name="Option Button 1457">
              <controlPr defaultSize="0" autoFill="0" autoLine="0" autoPict="0">
                <anchor moveWithCells="1">
                  <from>
                    <xdr:col>2</xdr:col>
                    <xdr:colOff>38100</xdr:colOff>
                    <xdr:row>46</xdr:row>
                    <xdr:rowOff>0</xdr:rowOff>
                  </from>
                  <to>
                    <xdr:col>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2" r:id="rId247" name="Option Button 1458">
              <controlPr defaultSize="0" autoFill="0" autoLine="0" autoPict="0">
                <anchor moveWithCells="1">
                  <from>
                    <xdr:col>3</xdr:col>
                    <xdr:colOff>38100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3" r:id="rId248" name="Option Button 1459">
              <controlPr defaultSize="0" autoFill="0" autoLine="0" autoPict="0">
                <anchor moveWithCells="1">
                  <from>
                    <xdr:col>4</xdr:col>
                    <xdr:colOff>38100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8" r:id="rId249" name="Button 1464">
              <controlPr defaultSize="0" print="0" autoFill="0" autoPict="0" macro="[0]!AmendDate">
                <anchor moveWithCells="1" sizeWithCells="1">
                  <from>
                    <xdr:col>7</xdr:col>
                    <xdr:colOff>426720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2" r:id="rId250" name="Butt_Undo_1">
              <controlPr defaultSize="0" print="0" autoFill="0" autoPict="0" macro="[0]!Undo_1">
                <anchor moveWithCells="1" sizeWithCells="1">
                  <from>
                    <xdr:col>7</xdr:col>
                    <xdr:colOff>160020</xdr:colOff>
                    <xdr:row>141</xdr:row>
                    <xdr:rowOff>0</xdr:rowOff>
                  </from>
                  <to>
                    <xdr:col>8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3" r:id="rId251" name="Butt_Undo_2">
              <controlPr defaultSize="0" print="0" autoFill="0" autoPict="0" macro="[0]!Undo_2">
                <anchor moveWithCells="1" siz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0</xdr:col>
                    <xdr:colOff>914400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4" r:id="rId252" name="Butt_Undo_3">
              <controlPr defaultSize="0" print="0" autoFill="0" autoPict="0" macro="[0]!Undo_3">
                <anchor moveWithCells="1" sizeWithCells="1">
                  <from>
                    <xdr:col>7</xdr:col>
                    <xdr:colOff>175260</xdr:colOff>
                    <xdr:row>163</xdr:row>
                    <xdr:rowOff>0</xdr:rowOff>
                  </from>
                  <to>
                    <xdr:col>8</xdr:col>
                    <xdr:colOff>7620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5" r:id="rId253" name="Butt_Undo_4">
              <controlPr defaultSize="0" print="0" autoFill="0" autoPict="0" macro="[0]!Undo_4">
                <anchor moveWithCells="1" siz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0</xdr:col>
                    <xdr:colOff>914400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6" r:id="rId254" name="Butt_Undo_5">
              <controlPr defaultSize="0" print="0" autoFill="0" autoPict="0" macro="[0]!Undo_5">
                <anchor moveWithCells="1" sizeWithCells="1">
                  <from>
                    <xdr:col>7</xdr:col>
                    <xdr:colOff>160020</xdr:colOff>
                    <xdr:row>187</xdr:row>
                    <xdr:rowOff>0</xdr:rowOff>
                  </from>
                  <to>
                    <xdr:col>8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7" r:id="rId255" name="Butt_Undo_6">
              <controlPr defaultSize="0" print="0" autoFill="0" autoPict="0" macro="[0]!Undo_6">
                <anchor moveWithCells="1" siz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0</xdr:col>
                    <xdr:colOff>914400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8" r:id="rId256" name="Butt_Undo_7">
              <controlPr defaultSize="0" print="0" autoFill="0" autoPict="0" macro="[0]!Undo_7">
                <anchor moveWithCells="1" sizeWithCells="1">
                  <from>
                    <xdr:col>7</xdr:col>
                    <xdr:colOff>160020</xdr:colOff>
                    <xdr:row>209</xdr:row>
                    <xdr:rowOff>0</xdr:rowOff>
                  </from>
                  <to>
                    <xdr:col>8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9" r:id="rId257" name="Butt_Undo_8">
              <controlPr defaultSize="0" print="0" autoFill="0" autoPict="0" macro="[0]!Undo_8">
                <anchor moveWithCells="1" siz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0</xdr:col>
                    <xdr:colOff>914400</xdr:colOff>
                    <xdr:row>222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B111FF11-7916-401B-9ABD-A0D13CF3E060}">
          <x14:formula1>
            <xm:f>_xlfn.ANCHORARRAY(CustData!$A$2)</xm:f>
          </x14:formula1>
          <xm:sqref>B1:C1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F63B-7349-4E6B-A8D7-753C79BD9572}">
  <sheetPr codeName="Sheet6">
    <pageSetUpPr fitToPage="1"/>
  </sheetPr>
  <dimension ref="A1:ZZ101"/>
  <sheetViews>
    <sheetView showGridLines="0" showRowColHeaders="0" zoomScaleNormal="100" zoomScaleSheetLayoutView="100" workbookViewId="0">
      <selection activeCell="A42" sqref="A42:XFD1048576"/>
    </sheetView>
  </sheetViews>
  <sheetFormatPr defaultColWidth="0" defaultRowHeight="20.100000000000001" customHeight="1" zeroHeight="1" x14ac:dyDescent="0.3"/>
  <cols>
    <col min="1" max="1" width="16.44140625" style="21" bestFit="1" customWidth="1"/>
    <col min="2" max="2" width="31.5546875" style="21" customWidth="1"/>
    <col min="3" max="3" width="14.44140625" style="21" customWidth="1"/>
    <col min="4" max="4" width="15.5546875" style="21" customWidth="1"/>
    <col min="5" max="5" width="6.109375" style="21" customWidth="1"/>
    <col min="6" max="7" width="4" style="21" customWidth="1"/>
    <col min="8" max="8" width="0.44140625" style="38" customWidth="1"/>
    <col min="9" max="10" width="9.109375" style="21" hidden="1" customWidth="1"/>
    <col min="11" max="16" width="6.5546875" style="21" hidden="1" customWidth="1"/>
    <col min="17" max="17" width="4.5546875" style="21" hidden="1" customWidth="1"/>
    <col min="18" max="18" width="9.109375" style="21" hidden="1" customWidth="1"/>
    <col min="19" max="19" width="22.5546875" style="21" hidden="1" customWidth="1"/>
    <col min="20" max="16384" width="9.109375" style="21" hidden="1"/>
  </cols>
  <sheetData>
    <row r="1" spans="1:702" ht="20.100000000000001" customHeight="1" x14ac:dyDescent="0.3">
      <c r="A1" s="28" t="s">
        <v>0</v>
      </c>
      <c r="B1" s="29" t="str">
        <f>IF(OR(Worksheet!B1="",Worksheet!B1="Start typing then use drop-down"),"",Worksheet!B1)</f>
        <v/>
      </c>
      <c r="C1" s="28" t="s">
        <v>1</v>
      </c>
      <c r="D1" s="117">
        <f ca="1">IF(Worksheet!G1&lt;&gt;"",Worksheet!G1,"")</f>
        <v>44851</v>
      </c>
      <c r="E1" s="118"/>
      <c r="F1" s="118"/>
      <c r="G1" s="119"/>
      <c r="H1" s="10"/>
    </row>
    <row r="2" spans="1:702" ht="20.100000000000001" customHeight="1" x14ac:dyDescent="0.3">
      <c r="A2" s="28" t="s">
        <v>7</v>
      </c>
      <c r="B2" s="120" t="str">
        <f>IF(OR(Worksheet!B1="",Worksheet!B1="Start typing then use drop-down"),"Please complete all upper section details on main Worksheet",Worksheet!B2)</f>
        <v>Please complete all upper section details on main Worksheet</v>
      </c>
      <c r="C2" s="121"/>
      <c r="D2" s="121"/>
      <c r="E2" s="121"/>
      <c r="F2" s="121"/>
      <c r="G2" s="122"/>
      <c r="H2" s="10"/>
      <c r="J2" s="21" t="str">
        <f>CONCATENATE(J5,J6)</f>
        <v xml:space="preserve"> -  - #</v>
      </c>
    </row>
    <row r="3" spans="1:702" ht="20.100000000000001" customHeight="1" x14ac:dyDescent="0.3">
      <c r="A3" s="28" t="s">
        <v>2</v>
      </c>
      <c r="B3" s="29" t="str">
        <f>IF(Worksheet!B3&lt;&gt;"",Worksheet!B3,"")</f>
        <v/>
      </c>
      <c r="C3" s="28" t="s">
        <v>6</v>
      </c>
      <c r="D3" s="123" t="str">
        <f>IF(Worksheet!G3&lt;&gt;"",Worksheet!G3,"")</f>
        <v/>
      </c>
      <c r="E3" s="121"/>
      <c r="F3" s="121"/>
      <c r="G3" s="122"/>
      <c r="H3" s="10"/>
    </row>
    <row r="4" spans="1:702" ht="20.100000000000001" customHeight="1" x14ac:dyDescent="0.3">
      <c r="A4" s="28" t="s">
        <v>4</v>
      </c>
      <c r="B4" s="29" t="str">
        <f>IF(Worksheet!B4&lt;&gt;"",Worksheet!B4,"")</f>
        <v/>
      </c>
      <c r="C4" s="28" t="s">
        <v>3</v>
      </c>
      <c r="D4" s="120" t="str">
        <f>IF(Worksheet!G4&lt;&gt;"",Worksheet!G4,"")</f>
        <v/>
      </c>
      <c r="E4" s="121"/>
      <c r="F4" s="121"/>
      <c r="G4" s="122"/>
      <c r="H4" s="10"/>
    </row>
    <row r="5" spans="1:702" ht="20.100000000000001" customHeight="1" x14ac:dyDescent="0.3">
      <c r="A5" s="28" t="s">
        <v>8</v>
      </c>
      <c r="B5" s="29" t="str">
        <f>IF(Worksheet!B5&lt;&gt;"",Worksheet!B5,"")</f>
        <v/>
      </c>
      <c r="C5" s="28" t="s">
        <v>5</v>
      </c>
      <c r="D5" s="120" t="str">
        <f>IF(Worksheet!G5&lt;&gt;"",Worksheet!G5,"")</f>
        <v/>
      </c>
      <c r="E5" s="121"/>
      <c r="F5" s="121"/>
      <c r="G5" s="122"/>
      <c r="H5" s="10"/>
      <c r="J5" s="21" t="str">
        <f>IF(B6&lt;&gt;"N/A"," - "&amp;B6,"")</f>
        <v xml:space="preserve"> - </v>
      </c>
      <c r="S5" s="22"/>
    </row>
    <row r="6" spans="1:702" ht="20.100000000000001" customHeight="1" x14ac:dyDescent="0.3">
      <c r="A6" s="28" t="s">
        <v>16</v>
      </c>
      <c r="B6" s="29" t="str">
        <f>IF(Worksheet!B6&lt;&gt;"",Worksheet!B6,"")</f>
        <v/>
      </c>
      <c r="C6" s="28" t="s">
        <v>17</v>
      </c>
      <c r="D6" s="125" t="str">
        <f>IF(Worksheet!G6&lt;&gt;"",Worksheet!G6,"")</f>
        <v/>
      </c>
      <c r="E6" s="125"/>
      <c r="F6" s="125"/>
      <c r="G6" s="125"/>
      <c r="H6" s="10"/>
      <c r="J6" s="21" t="str">
        <f>IF(D6&lt;&gt;"N/A"," - #"&amp;D6,"")</f>
        <v xml:space="preserve"> - #</v>
      </c>
    </row>
    <row r="7" spans="1:702" ht="15.9" customHeight="1" x14ac:dyDescent="0.3">
      <c r="A7" s="64"/>
      <c r="B7" s="64"/>
      <c r="C7" s="64"/>
      <c r="D7" s="64"/>
      <c r="E7" s="64"/>
      <c r="F7" s="64"/>
      <c r="G7" s="64"/>
      <c r="H7" s="10"/>
      <c r="J7" s="21" t="str">
        <f ca="1">ZZ98</f>
        <v>Y22M10D17 -  -  -  -  - # - DACS Calibration Certificate</v>
      </c>
    </row>
    <row r="8" spans="1:702" ht="20.100000000000001" customHeight="1" x14ac:dyDescent="0.3">
      <c r="A8" s="87" t="s">
        <v>19</v>
      </c>
      <c r="B8" s="88"/>
      <c r="C8" s="88"/>
      <c r="D8" s="88"/>
      <c r="E8" s="88"/>
      <c r="F8" s="88"/>
      <c r="G8" s="89"/>
      <c r="H8" s="10"/>
    </row>
    <row r="9" spans="1:702" ht="20.100000000000001" customHeight="1" x14ac:dyDescent="0.3">
      <c r="A9" s="1" t="s">
        <v>68</v>
      </c>
      <c r="B9" s="29" t="str">
        <f>IF(ZZ90&lt;&gt;"0",ZZ90,"")</f>
        <v xml:space="preserve"> </v>
      </c>
      <c r="C9" s="1" t="s">
        <v>20</v>
      </c>
      <c r="D9" s="59"/>
      <c r="E9" s="60"/>
      <c r="F9" s="60"/>
      <c r="G9" s="61"/>
      <c r="H9" s="10"/>
    </row>
    <row r="10" spans="1:702" ht="15.9" customHeight="1" x14ac:dyDescent="0.3">
      <c r="A10" s="126"/>
      <c r="B10" s="126"/>
      <c r="C10" s="126"/>
      <c r="D10" s="126"/>
      <c r="E10" s="126"/>
      <c r="F10" s="126"/>
      <c r="G10" s="126"/>
      <c r="H10" s="10"/>
    </row>
    <row r="11" spans="1:702" ht="20.100000000000001" customHeight="1" x14ac:dyDescent="0.3">
      <c r="A11" s="87" t="s">
        <v>21</v>
      </c>
      <c r="B11" s="88"/>
      <c r="C11" s="88"/>
      <c r="D11" s="88"/>
      <c r="E11" s="88"/>
      <c r="F11" s="88"/>
      <c r="G11" s="89"/>
      <c r="H11" s="10"/>
    </row>
    <row r="12" spans="1:702" ht="20.100000000000001" customHeight="1" x14ac:dyDescent="0.3">
      <c r="A12" s="127" t="s">
        <v>69</v>
      </c>
      <c r="B12" s="127"/>
      <c r="C12" s="127"/>
      <c r="D12" s="127"/>
      <c r="E12" s="127"/>
      <c r="F12" s="31" t="s">
        <v>22</v>
      </c>
      <c r="G12" s="31" t="s">
        <v>18</v>
      </c>
      <c r="H12" s="10"/>
      <c r="ZZ12" s="21">
        <v>0</v>
      </c>
    </row>
    <row r="13" spans="1:702" ht="20.100000000000001" customHeight="1" x14ac:dyDescent="0.3">
      <c r="A13" s="73" t="str">
        <f>"Select a preset with a capacity of "&amp;B9&amp;"g."</f>
        <v>Select a preset with a capacity of  g.</v>
      </c>
      <c r="B13" s="73"/>
      <c r="C13" s="73"/>
      <c r="D13" s="73"/>
      <c r="E13" s="73"/>
      <c r="F13" s="6"/>
      <c r="G13" s="6"/>
      <c r="H13" s="10"/>
      <c r="ZZ13" s="21">
        <v>0</v>
      </c>
    </row>
    <row r="14" spans="1:702" ht="20.100000000000001" customHeight="1" x14ac:dyDescent="0.3">
      <c r="A14" s="73" t="s">
        <v>70</v>
      </c>
      <c r="B14" s="73"/>
      <c r="C14" s="73"/>
      <c r="D14" s="73"/>
      <c r="E14" s="73"/>
      <c r="F14" s="6"/>
      <c r="G14" s="6"/>
      <c r="H14" s="10"/>
      <c r="ZZ14" s="21">
        <v>0</v>
      </c>
    </row>
    <row r="15" spans="1:702" ht="20.100000000000001" customHeight="1" x14ac:dyDescent="0.3">
      <c r="A15" s="128" t="str">
        <f>"Perform Span Adjustment with "&amp;A23&amp;"g."</f>
        <v>Perform Span Adjustment with  g.</v>
      </c>
      <c r="B15" s="126"/>
      <c r="C15" s="126"/>
      <c r="D15" s="126"/>
      <c r="E15" s="58"/>
      <c r="F15" s="6"/>
      <c r="G15" s="6"/>
      <c r="H15" s="10"/>
      <c r="ZZ15" s="21">
        <v>0</v>
      </c>
    </row>
    <row r="16" spans="1:702" ht="20.100000000000001" customHeight="1" x14ac:dyDescent="0.3">
      <c r="A16" s="73" t="s">
        <v>71</v>
      </c>
      <c r="B16" s="73"/>
      <c r="C16" s="73"/>
      <c r="D16" s="73"/>
      <c r="E16" s="73"/>
      <c r="F16" s="6"/>
      <c r="G16" s="6"/>
      <c r="H16" s="10"/>
      <c r="ZZ16" s="21">
        <v>0</v>
      </c>
    </row>
    <row r="17" spans="1:702" ht="20.100000000000001" customHeight="1" x14ac:dyDescent="0.3">
      <c r="A17" s="124" t="s">
        <v>72</v>
      </c>
      <c r="B17" s="73"/>
      <c r="C17" s="73"/>
      <c r="D17" s="73"/>
      <c r="E17" s="73"/>
      <c r="F17" s="6"/>
      <c r="G17" s="6"/>
      <c r="H17" s="10"/>
      <c r="ZZ17" s="21">
        <v>0</v>
      </c>
    </row>
    <row r="18" spans="1:702" ht="20.100000000000001" customHeight="1" x14ac:dyDescent="0.3">
      <c r="A18" s="124" t="s">
        <v>73</v>
      </c>
      <c r="B18" s="73"/>
      <c r="C18" s="73"/>
      <c r="D18" s="73"/>
      <c r="E18" s="73"/>
      <c r="F18" s="6"/>
      <c r="G18" s="6"/>
      <c r="H18" s="10"/>
      <c r="ZZ18" s="21">
        <v>0</v>
      </c>
    </row>
    <row r="19" spans="1:702" ht="20.100000000000001" customHeight="1" x14ac:dyDescent="0.3">
      <c r="A19" s="124" t="s">
        <v>71</v>
      </c>
      <c r="B19" s="73"/>
      <c r="C19" s="73"/>
      <c r="D19" s="73"/>
      <c r="E19" s="73"/>
      <c r="F19" s="6"/>
      <c r="G19" s="6"/>
      <c r="H19" s="10"/>
      <c r="ZZ19" s="21">
        <v>0</v>
      </c>
    </row>
    <row r="20" spans="1:702" ht="20.100000000000001" customHeight="1" x14ac:dyDescent="0.3">
      <c r="A20" s="124" t="s">
        <v>74</v>
      </c>
      <c r="B20" s="73"/>
      <c r="C20" s="73"/>
      <c r="D20" s="73"/>
      <c r="E20" s="73"/>
      <c r="F20" s="6"/>
      <c r="G20" s="6"/>
      <c r="H20" s="10"/>
      <c r="M20" s="32"/>
      <c r="AD20" s="21">
        <v>0</v>
      </c>
      <c r="ZZ20" s="21">
        <v>0</v>
      </c>
    </row>
    <row r="21" spans="1:702" ht="15.9" customHeight="1" x14ac:dyDescent="0.3">
      <c r="A21" s="126"/>
      <c r="B21" s="126"/>
      <c r="C21" s="126"/>
      <c r="D21" s="126"/>
      <c r="E21" s="126"/>
      <c r="F21" s="126"/>
      <c r="G21" s="126"/>
      <c r="H21" s="10"/>
      <c r="M21" s="21">
        <f>15000*D9</f>
        <v>0</v>
      </c>
      <c r="AD21" s="21">
        <v>0</v>
      </c>
    </row>
    <row r="22" spans="1:702" ht="20.100000000000001" customHeight="1" x14ac:dyDescent="0.3">
      <c r="A22" s="87" t="s">
        <v>75</v>
      </c>
      <c r="B22" s="89"/>
      <c r="C22" s="31" t="s">
        <v>23</v>
      </c>
      <c r="D22" s="31" t="s">
        <v>24</v>
      </c>
      <c r="E22" s="129" t="s">
        <v>25</v>
      </c>
      <c r="F22" s="129"/>
      <c r="G22" s="129"/>
      <c r="H22" s="10"/>
      <c r="M22" s="21">
        <f>IF(D9&lt;&gt;"",1,0)</f>
        <v>0</v>
      </c>
      <c r="AD22" s="21">
        <v>0</v>
      </c>
    </row>
    <row r="23" spans="1:702" ht="20.100000000000001" customHeight="1" x14ac:dyDescent="0.3">
      <c r="A23" s="132" t="str">
        <f>IF(B9=30000,20000,IF(B9=15000,10000,IF(B9=6000,5000,IF(B9=5000,5000,IF(B9=3000,3000,IF(B9=2000,2000,IF(B9=1500,1000,IF(B9=1200,1000,IF(B9=600,600,IF(B9=300,300," "))))))))))</f>
        <v xml:space="preserve"> </v>
      </c>
      <c r="B23" s="133"/>
      <c r="C23" s="33" t="str">
        <f>P23</f>
        <v/>
      </c>
      <c r="D23" s="30" t="str">
        <f>IF(C23&lt;30001,(C23-A23),"")</f>
        <v/>
      </c>
      <c r="E23" s="131" t="str">
        <f>IF(C23&lt;30001,L23,"")</f>
        <v/>
      </c>
      <c r="F23" s="130"/>
      <c r="G23" s="130"/>
      <c r="H23" s="10"/>
      <c r="L23" s="21">
        <f>IF(A23&gt;0,(D9*K23),"")</f>
        <v>0</v>
      </c>
      <c r="M23" s="21">
        <v>15000</v>
      </c>
      <c r="N23" s="21">
        <f>M23*$D$9</f>
        <v>0</v>
      </c>
      <c r="O23" s="21" t="str">
        <f>IF(A23&lt;30001,((A23-$M$21+N23)*Q23*$M$22),"")</f>
        <v/>
      </c>
      <c r="P23" s="21" t="str">
        <f>IF(O23&gt;0,O23,"")</f>
        <v/>
      </c>
      <c r="Q23" s="21">
        <v>0</v>
      </c>
      <c r="AD23" s="21">
        <v>0</v>
      </c>
    </row>
    <row r="24" spans="1:702" ht="20.100000000000001" customHeight="1" x14ac:dyDescent="0.3">
      <c r="A24" s="132" t="str">
        <f>A23</f>
        <v xml:space="preserve"> </v>
      </c>
      <c r="B24" s="133"/>
      <c r="C24" s="33" t="str">
        <f>P24</f>
        <v/>
      </c>
      <c r="D24" s="30" t="str">
        <f>IF(C24&lt;30001,(C24-A24),"")</f>
        <v/>
      </c>
      <c r="E24" s="131" t="str">
        <f>IF(C24&lt;30001,L24,"")</f>
        <v/>
      </c>
      <c r="F24" s="130"/>
      <c r="G24" s="130"/>
      <c r="H24" s="10"/>
      <c r="L24" s="21">
        <f>IF(A24&gt;0,($D$9*K24),"")</f>
        <v>0</v>
      </c>
      <c r="M24" s="21">
        <v>15000</v>
      </c>
      <c r="N24" s="21">
        <f>M24*$D$9</f>
        <v>0</v>
      </c>
      <c r="O24" s="21" t="str">
        <f>IF(A24&lt;30001,((A24-$M$21+N24)*Q24*$M$22),"")</f>
        <v/>
      </c>
      <c r="P24" s="21" t="str">
        <f>IF(O24&gt;0,O24,"")</f>
        <v/>
      </c>
      <c r="Q24" s="21">
        <v>0</v>
      </c>
      <c r="AD24" s="21">
        <v>0</v>
      </c>
    </row>
    <row r="25" spans="1:702" ht="20.100000000000001" customHeight="1" x14ac:dyDescent="0.3">
      <c r="A25" s="132" t="str">
        <f>A23</f>
        <v xml:space="preserve"> </v>
      </c>
      <c r="B25" s="133"/>
      <c r="C25" s="33" t="str">
        <f>P25</f>
        <v/>
      </c>
      <c r="D25" s="30" t="str">
        <f>IF(C25&lt;30001,(C25-A25),"")</f>
        <v/>
      </c>
      <c r="E25" s="131" t="str">
        <f>IF(C25&lt;30001,L25,"")</f>
        <v/>
      </c>
      <c r="F25" s="130"/>
      <c r="G25" s="130"/>
      <c r="H25" s="10"/>
      <c r="L25" s="21">
        <f>IF(A25&gt;0,($D$9*K25),"")</f>
        <v>0</v>
      </c>
      <c r="M25" s="21">
        <v>15000</v>
      </c>
      <c r="N25" s="21">
        <f>M25*$D$9</f>
        <v>0</v>
      </c>
      <c r="O25" s="21" t="str">
        <f>IF(A25&lt;30001,((A25-$M$21+N25)*Q25*$M$22),"")</f>
        <v/>
      </c>
      <c r="P25" s="21" t="str">
        <f>IF(O25&gt;0,O25,"")</f>
        <v/>
      </c>
      <c r="Q25" s="21">
        <v>0</v>
      </c>
      <c r="AD25" s="21">
        <v>0</v>
      </c>
    </row>
    <row r="26" spans="1:702" ht="15.9" customHeight="1" x14ac:dyDescent="0.3">
      <c r="A26" s="126"/>
      <c r="B26" s="126"/>
      <c r="C26" s="126"/>
      <c r="D26" s="126"/>
      <c r="E26" s="126"/>
      <c r="F26" s="126"/>
      <c r="G26" s="126"/>
      <c r="H26" s="10"/>
      <c r="AD26" s="21">
        <v>0</v>
      </c>
    </row>
    <row r="27" spans="1:702" ht="20.100000000000001" customHeight="1" x14ac:dyDescent="0.3">
      <c r="A27" s="87" t="s">
        <v>76</v>
      </c>
      <c r="B27" s="89"/>
      <c r="C27" s="12" t="s">
        <v>23</v>
      </c>
      <c r="D27" s="31" t="s">
        <v>24</v>
      </c>
      <c r="E27" s="129" t="s">
        <v>25</v>
      </c>
      <c r="F27" s="129"/>
      <c r="G27" s="129"/>
      <c r="H27" s="10"/>
      <c r="AD27" s="21">
        <v>0</v>
      </c>
    </row>
    <row r="28" spans="1:702" ht="20.100000000000001" customHeight="1" x14ac:dyDescent="0.3">
      <c r="A28" s="130" t="str">
        <f>IF(B9=30000,5000,IF(B9=15000,5000,IF(B9=6000,2000,IF(B9=5000,1000,IF(B9=3000,1000,IF(B9=2000,500,IF(B9=1500,500,IF(B9=1200,300,IF(B9=600,200,IF(B9=300,100," "))))))))))</f>
        <v xml:space="preserve"> </v>
      </c>
      <c r="B28" s="130"/>
      <c r="C28" s="33" t="str">
        <f>P28</f>
        <v/>
      </c>
      <c r="D28" s="34" t="str">
        <f>IF(C28&lt;30001,(C28-A28),"")</f>
        <v/>
      </c>
      <c r="E28" s="131" t="str">
        <f>IF(C28&lt;30001,L28,"")</f>
        <v/>
      </c>
      <c r="F28" s="130"/>
      <c r="G28" s="130"/>
      <c r="H28" s="10"/>
      <c r="L28" s="21">
        <f>IF(A28&gt;0,($D$9*K28),"")</f>
        <v>0</v>
      </c>
      <c r="M28" s="21">
        <v>15000</v>
      </c>
      <c r="N28" s="21">
        <f>M28*$D$9</f>
        <v>0</v>
      </c>
      <c r="O28" s="21" t="str">
        <f>IF(A28&lt;30001,((A28-$M$21+N28)*Q28*$M$22),"")</f>
        <v/>
      </c>
      <c r="P28" s="21" t="str">
        <f>IF(O28&gt;0,O28,"")</f>
        <v/>
      </c>
      <c r="Q28" s="21">
        <v>0</v>
      </c>
      <c r="AD28" s="21">
        <v>0</v>
      </c>
    </row>
    <row r="29" spans="1:702" ht="20.100000000000001" customHeight="1" x14ac:dyDescent="0.3">
      <c r="A29" s="130" t="str">
        <f>IF(B9=30000,10000,IF(B9=15000,10000,IF(B9=6000,4000,IF(B9=5000,2000,IF(B9=3000,2000,IF(B9=2000,1000,IF(B9=1500,1000,IF(B9=1200,800,IF(B9=600,400,IF(B9=300,200," "))))))))))</f>
        <v xml:space="preserve"> </v>
      </c>
      <c r="B29" s="130"/>
      <c r="C29" s="33" t="str">
        <f>P29</f>
        <v/>
      </c>
      <c r="D29" s="34" t="str">
        <f>IF(C29&lt;30001,(C29-A29),"")</f>
        <v/>
      </c>
      <c r="E29" s="131" t="str">
        <f>IF(C29&lt;30001,L29,"")</f>
        <v/>
      </c>
      <c r="F29" s="130"/>
      <c r="G29" s="130"/>
      <c r="H29" s="10"/>
      <c r="L29" s="21">
        <f>IF(A29&gt;0,($D$9*K29),"")</f>
        <v>0</v>
      </c>
      <c r="M29" s="21">
        <v>15000</v>
      </c>
      <c r="N29" s="21">
        <f>M29*$D$9</f>
        <v>0</v>
      </c>
      <c r="O29" s="21" t="str">
        <f>IF(A29&lt;30001,((A29-$M$21+N29)*Q29*$M$22),"")</f>
        <v/>
      </c>
      <c r="P29" s="21" t="str">
        <f>IF(O29&gt;0,O29,"")</f>
        <v/>
      </c>
      <c r="Q29" s="21">
        <v>0</v>
      </c>
      <c r="AD29" s="21">
        <v>0</v>
      </c>
    </row>
    <row r="30" spans="1:702" ht="20.100000000000001" customHeight="1" x14ac:dyDescent="0.3">
      <c r="A30" s="130" t="str">
        <f>IF(B9=30000,15000,IF(B9=15000,15000,IF(B9=6000,6000,IF(B9=5000,3000,IF(B9=3000,3000,IF(B9=2000,1500,IF(B9=1500,1500,IF(B9=1200,1200,IF(B9=600,600,IF(B9=300,300," "))))))))))</f>
        <v xml:space="preserve"> </v>
      </c>
      <c r="B30" s="130"/>
      <c r="C30" s="33" t="str">
        <f>P30</f>
        <v/>
      </c>
      <c r="D30" s="34" t="str">
        <f>IF(C30&lt;30001,(C30-A30),"")</f>
        <v/>
      </c>
      <c r="E30" s="131" t="str">
        <f>IF(C30&lt;30001,L30,"")</f>
        <v/>
      </c>
      <c r="F30" s="130"/>
      <c r="G30" s="130"/>
      <c r="H30" s="10"/>
      <c r="L30" s="21">
        <f>IF(A30&gt;0,($D$9*K30),"")</f>
        <v>0</v>
      </c>
      <c r="M30" s="21">
        <v>15000</v>
      </c>
      <c r="N30" s="21">
        <f>M30*$D$9</f>
        <v>0</v>
      </c>
      <c r="O30" s="21" t="str">
        <f>IF(A30&lt;30001,((A30-$M$21+N30)*Q30*$M$22),"")</f>
        <v/>
      </c>
      <c r="P30" s="21" t="str">
        <f>IF(O30&gt;0,O30,"")</f>
        <v/>
      </c>
      <c r="Q30" s="21">
        <v>0</v>
      </c>
      <c r="AD30" s="21">
        <v>0</v>
      </c>
    </row>
    <row r="31" spans="1:702" ht="20.100000000000001" customHeight="1" x14ac:dyDescent="0.3">
      <c r="A31" s="130" t="str">
        <f>IF(B9=30000,20000,IF(B9=5000,4000,IF(B9=2000,2000," ")))</f>
        <v xml:space="preserve"> </v>
      </c>
      <c r="B31" s="130"/>
      <c r="C31" s="33" t="str">
        <f>P31</f>
        <v/>
      </c>
      <c r="D31" s="34" t="str">
        <f>IF(C31&lt;30001,(C31-A31),"")</f>
        <v/>
      </c>
      <c r="E31" s="131" t="str">
        <f>IF(C31&lt;30001,L31,"")</f>
        <v/>
      </c>
      <c r="F31" s="130"/>
      <c r="G31" s="130"/>
      <c r="H31" s="10"/>
      <c r="L31" s="21">
        <f>IF(A31&gt;0,($D$9*K31),"")</f>
        <v>0</v>
      </c>
      <c r="M31" s="21">
        <v>15000</v>
      </c>
      <c r="N31" s="21">
        <f>M31*$D$9</f>
        <v>0</v>
      </c>
      <c r="O31" s="21" t="str">
        <f>IF(A31&lt;30001,((A31-$M$21+N31)*Q31*$M$22),"")</f>
        <v/>
      </c>
      <c r="P31" s="21" t="str">
        <f>IF(O31&gt;0,O31,"")</f>
        <v/>
      </c>
      <c r="Q31" s="21">
        <v>0</v>
      </c>
      <c r="AD31" s="21">
        <v>0</v>
      </c>
    </row>
    <row r="32" spans="1:702" ht="20.100000000000001" customHeight="1" x14ac:dyDescent="0.3">
      <c r="A32" s="136" t="str">
        <f>IF(B9=5000,5000, " ")</f>
        <v xml:space="preserve"> </v>
      </c>
      <c r="B32" s="136"/>
      <c r="C32" s="35" t="str">
        <f>P32</f>
        <v/>
      </c>
      <c r="D32" s="34" t="str">
        <f>IF(C32&lt;30001,(C32-A32),"")</f>
        <v/>
      </c>
      <c r="E32" s="131" t="str">
        <f>IF(C32&lt;30001,L32,"")</f>
        <v/>
      </c>
      <c r="F32" s="130"/>
      <c r="G32" s="130"/>
      <c r="H32" s="10"/>
      <c r="L32" s="21">
        <f>IF(A32&gt;0,($D$9*K32),"")</f>
        <v>0</v>
      </c>
      <c r="M32" s="21">
        <v>15000</v>
      </c>
      <c r="N32" s="21">
        <f>M32*$D$9</f>
        <v>0</v>
      </c>
      <c r="O32" s="21" t="str">
        <f>IF(A32&lt;30001,((A32-$M$21+N32)*Q32*$M$22),"")</f>
        <v/>
      </c>
      <c r="P32" s="21" t="str">
        <f>IF(O32&gt;0,O32,"")</f>
        <v/>
      </c>
      <c r="Q32" s="21">
        <v>0</v>
      </c>
    </row>
    <row r="33" spans="1:8" ht="15.9" customHeight="1" x14ac:dyDescent="0.3">
      <c r="A33" s="134"/>
      <c r="B33" s="134"/>
      <c r="C33" s="134"/>
      <c r="D33" s="135"/>
      <c r="E33" s="135"/>
      <c r="F33" s="135"/>
      <c r="G33" s="135"/>
      <c r="H33" s="10"/>
    </row>
    <row r="34" spans="1:8" ht="20.100000000000001" customHeight="1" x14ac:dyDescent="0.3">
      <c r="A34" s="129" t="s">
        <v>77</v>
      </c>
      <c r="B34" s="129"/>
      <c r="C34" s="129"/>
      <c r="D34" s="129"/>
      <c r="E34" s="129"/>
      <c r="F34" s="129"/>
      <c r="G34" s="129"/>
      <c r="H34" s="10"/>
    </row>
    <row r="35" spans="1:8" ht="20.100000000000001" customHeight="1" x14ac:dyDescent="0.3">
      <c r="A35" s="90"/>
      <c r="B35" s="91"/>
      <c r="C35" s="91"/>
      <c r="D35" s="91"/>
      <c r="E35" s="91"/>
      <c r="F35" s="91"/>
      <c r="G35" s="92"/>
      <c r="H35" s="10"/>
    </row>
    <row r="36" spans="1:8" ht="20.100000000000001" customHeight="1" x14ac:dyDescent="0.3">
      <c r="A36" s="93"/>
      <c r="B36" s="94"/>
      <c r="C36" s="94"/>
      <c r="D36" s="94"/>
      <c r="E36" s="94"/>
      <c r="F36" s="94"/>
      <c r="G36" s="95"/>
      <c r="H36" s="10"/>
    </row>
    <row r="37" spans="1:8" ht="20.100000000000001" customHeight="1" x14ac:dyDescent="0.3">
      <c r="A37" s="93"/>
      <c r="B37" s="94"/>
      <c r="C37" s="94"/>
      <c r="D37" s="94"/>
      <c r="E37" s="94"/>
      <c r="F37" s="94"/>
      <c r="G37" s="95"/>
      <c r="H37" s="10"/>
    </row>
    <row r="38" spans="1:8" ht="15.9" customHeight="1" x14ac:dyDescent="0.3">
      <c r="A38" s="93"/>
      <c r="B38" s="94"/>
      <c r="C38" s="94"/>
      <c r="D38" s="94"/>
      <c r="E38" s="94"/>
      <c r="F38" s="94"/>
      <c r="G38" s="95"/>
      <c r="H38" s="10"/>
    </row>
    <row r="39" spans="1:8" ht="20.100000000000001" customHeight="1" x14ac:dyDescent="0.3">
      <c r="A39" s="93"/>
      <c r="B39" s="94"/>
      <c r="C39" s="94"/>
      <c r="D39" s="94"/>
      <c r="E39" s="94"/>
      <c r="F39" s="94"/>
      <c r="G39" s="95"/>
      <c r="H39" s="10"/>
    </row>
    <row r="40" spans="1:8" ht="20.100000000000001" customHeight="1" x14ac:dyDescent="0.3">
      <c r="A40" s="96"/>
      <c r="B40" s="97"/>
      <c r="C40" s="97"/>
      <c r="D40" s="97"/>
      <c r="E40" s="97"/>
      <c r="F40" s="97"/>
      <c r="G40" s="98"/>
      <c r="H40" s="10"/>
    </row>
    <row r="41" spans="1:8" ht="2.1" customHeight="1" x14ac:dyDescent="0.3">
      <c r="A41" s="3"/>
      <c r="B41" s="3"/>
      <c r="C41" s="3"/>
      <c r="D41" s="3"/>
      <c r="E41" s="36"/>
      <c r="F41" s="36"/>
      <c r="G41" s="36"/>
      <c r="H41" s="11"/>
    </row>
    <row r="90" spans="702:702" ht="20.100000000000001" hidden="1" customHeight="1" x14ac:dyDescent="0.3">
      <c r="ZZ90" s="21" t="str">
        <f>IF(ISNUMBER(SEARCH("150",D3)),15000,IF(ISNUMBER(SEARCH("300",D3)),30000,IF(ISNUMBER(SEARCH("060",D3)),6000,IF(ISNUMBER(SEARCH("050",D3)),5000,IF(ISNUMBER(SEARCH("030",D3)),3000,IF(ISNUMBER(SEARCH("020",D3)),2000,IF(ISNUMBER(SEARCH("015",D3)),1500,IF(ISNUMBER(SEARCH("012",D3)),1200,IF(ISNUMBER(SEARCH("006",D3)),600,IF(ISNUMBER(SEARCH("003",D3)),300," "))))))))))</f>
        <v xml:space="preserve"> </v>
      </c>
    </row>
    <row r="95" spans="702:702" ht="20.100000000000001" hidden="1" customHeight="1" x14ac:dyDescent="0.3">
      <c r="ZZ95" s="21">
        <v>0</v>
      </c>
    </row>
    <row r="96" spans="702:702" ht="20.100000000000001" hidden="1" customHeight="1" x14ac:dyDescent="0.3">
      <c r="ZZ96" s="21">
        <v>0</v>
      </c>
    </row>
    <row r="97" spans="702:702" ht="20.100000000000001" hidden="1" customHeight="1" x14ac:dyDescent="0.3">
      <c r="ZZ97" s="21" t="str">
        <f ca="1">CONCATENATE("Y"&amp;TEXT(D1,"yy"),"M"&amp;TEXT(D1,"mm"),"D"&amp;TEXT(D1,"dd")," - "&amp;B1," - "&amp;D3," - "&amp;D4,J2," - DACS Calibration Certificate")</f>
        <v>Y22M10D17 -  -  -  -  - # - DACS Calibration Certificate</v>
      </c>
    </row>
    <row r="98" spans="702:702" ht="20.100000000000001" hidden="1" customHeight="1" x14ac:dyDescent="0.3">
      <c r="ZZ98" s="21" t="str">
        <f ca="1">(SUBSTITUTE(SUBSTITUTE(SUBSTITUTE(ZZ97,"/","-"),"\","-"),"|","-"))</f>
        <v>Y22M10D17 -  -  -  -  - # - DACS Calibration Certificate</v>
      </c>
    </row>
    <row r="99" spans="702:702" ht="20.100000000000001" hidden="1" customHeight="1" x14ac:dyDescent="0.3">
      <c r="ZZ99" s="21">
        <v>0</v>
      </c>
    </row>
    <row r="100" spans="702:702" ht="20.100000000000001" hidden="1" customHeight="1" x14ac:dyDescent="0.3">
      <c r="ZZ100" s="21">
        <v>0</v>
      </c>
    </row>
    <row r="101" spans="702:702" ht="20.100000000000001" hidden="1" customHeight="1" x14ac:dyDescent="0.3">
      <c r="ZZ101" s="21">
        <v>0</v>
      </c>
    </row>
  </sheetData>
  <sheetProtection selectLockedCells="1"/>
  <mergeCells count="45">
    <mergeCell ref="A33:G33"/>
    <mergeCell ref="A34:G34"/>
    <mergeCell ref="A35:G40"/>
    <mergeCell ref="A30:B30"/>
    <mergeCell ref="E30:G30"/>
    <mergeCell ref="A31:B31"/>
    <mergeCell ref="E31:G31"/>
    <mergeCell ref="A32:B32"/>
    <mergeCell ref="E32:G32"/>
    <mergeCell ref="A29:B29"/>
    <mergeCell ref="E29:G29"/>
    <mergeCell ref="A23:B23"/>
    <mergeCell ref="E23:G23"/>
    <mergeCell ref="A24:B24"/>
    <mergeCell ref="E24:G24"/>
    <mergeCell ref="A25:B25"/>
    <mergeCell ref="E25:G25"/>
    <mergeCell ref="A26:G26"/>
    <mergeCell ref="A27:B27"/>
    <mergeCell ref="E27:G27"/>
    <mergeCell ref="A28:B28"/>
    <mergeCell ref="E28:G28"/>
    <mergeCell ref="A18:E18"/>
    <mergeCell ref="A19:E19"/>
    <mergeCell ref="A20:E20"/>
    <mergeCell ref="A21:G21"/>
    <mergeCell ref="A22:B22"/>
    <mergeCell ref="E22:G22"/>
    <mergeCell ref="A17:E17"/>
    <mergeCell ref="D6:G6"/>
    <mergeCell ref="A7:G7"/>
    <mergeCell ref="A8:G8"/>
    <mergeCell ref="D9:G9"/>
    <mergeCell ref="A10:G10"/>
    <mergeCell ref="A11:G11"/>
    <mergeCell ref="A12:E12"/>
    <mergeCell ref="A13:E13"/>
    <mergeCell ref="A14:E14"/>
    <mergeCell ref="A15:E15"/>
    <mergeCell ref="A16:E16"/>
    <mergeCell ref="D1:G1"/>
    <mergeCell ref="B2:G2"/>
    <mergeCell ref="D3:G3"/>
    <mergeCell ref="D4:G4"/>
    <mergeCell ref="D5:G5"/>
  </mergeCells>
  <conditionalFormatting sqref="E28:G32 E23:G25">
    <cfRule type="expression" dxfId="11" priority="10">
      <formula>$D$9&lt;0.1</formula>
    </cfRule>
    <cfRule type="expression" dxfId="10" priority="11">
      <formula>$D$9&gt;=1</formula>
    </cfRule>
    <cfRule type="expression" dxfId="9" priority="12">
      <formula>AND($D$9&gt;=0.1,$D$9&lt;1)</formula>
    </cfRule>
  </conditionalFormatting>
  <conditionalFormatting sqref="C23:C25 C28:C32">
    <cfRule type="expression" dxfId="8" priority="7">
      <formula>$D$9&gt;=1</formula>
    </cfRule>
    <cfRule type="expression" dxfId="7" priority="8">
      <formula>$D$9&lt;0.1</formula>
    </cfRule>
    <cfRule type="expression" dxfId="6" priority="9">
      <formula>AND($D$9&gt;=0.1,$D$9&lt;1)</formula>
    </cfRule>
  </conditionalFormatting>
  <conditionalFormatting sqref="D23:D25 D28:D32">
    <cfRule type="expression" dxfId="5" priority="4">
      <formula>$D$9&gt;=1</formula>
    </cfRule>
    <cfRule type="expression" dxfId="4" priority="5">
      <formula>$D$9&lt;0.1</formula>
    </cfRule>
    <cfRule type="expression" dxfId="3" priority="6">
      <formula>AND($D$9&gt;=0.1,$D$9&lt;1)</formula>
    </cfRule>
  </conditionalFormatting>
  <conditionalFormatting sqref="B1">
    <cfRule type="cellIs" dxfId="2" priority="3" operator="equal">
      <formula>"Start typing then use drop-down"</formula>
    </cfRule>
  </conditionalFormatting>
  <conditionalFormatting sqref="B2:G2">
    <cfRule type="cellIs" dxfId="1" priority="2" operator="equal">
      <formula>"Please complete all upper section details on main Worksheet"</formula>
    </cfRule>
  </conditionalFormatting>
  <conditionalFormatting sqref="B4">
    <cfRule type="cellIs" dxfId="0" priority="1" operator="equal">
      <formula>"edit"</formula>
    </cfRule>
  </conditionalFormatting>
  <dataValidations disablePrompts="1" count="1">
    <dataValidation type="list" errorStyle="information" allowBlank="1" showInputMessage="1" showErrorMessage="1" sqref="D9:G9" xr:uid="{8126A962-6895-4400-8CC3-F3F3BAF8BE19}">
      <formula1>"0.01, 0.05, 0.1, 0.2, 0.5, 1, 2, 5"</formula1>
    </dataValidation>
  </dataValidations>
  <pageMargins left="0.51181102362204722" right="0.51181102362204722" top="0.6692913385826772" bottom="0.55118110236220474" header="0.19685039370078741" footer="0.19685039370078741"/>
  <pageSetup paperSize="9" fitToHeight="0" orientation="portrait" horizontalDpi="300" verticalDpi="300" r:id="rId1"/>
  <headerFooter>
    <oddHeader xml:space="preserve">&amp;L&amp;G&amp;C&amp;18Calibration Certificate - DACS </oddHeader>
    <oddFooter>&amp;L&amp;9SER CC 01 Ishida DACS Cal, Issue 4, 07 Feb 2022&amp;R&amp;9&amp;P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5" name="Option Button 2">
              <controlPr defaultSize="0" autoFill="0" autoLine="0" autoPict="0">
                <anchor moveWithCells="1">
                  <from>
                    <xdr:col>6</xdr:col>
                    <xdr:colOff>38100</xdr:colOff>
                    <xdr:row>15</xdr:row>
                    <xdr:rowOff>7620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Group Box 3">
              <controlPr defaultSize="0" print="0" autoFill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Option Button 4">
              <controlPr defaultSize="0" autoFill="0" autoLine="0" autoPict="0">
                <anchor moveWithCells="1">
                  <from>
                    <xdr:col>5</xdr:col>
                    <xdr:colOff>38100</xdr:colOff>
                    <xdr:row>15</xdr:row>
                    <xdr:rowOff>7620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Option Button 5">
              <controlPr defaultSize="0" autoFill="0" autoLine="0" autoPict="0">
                <anchor moveWithCells="1">
                  <from>
                    <xdr:col>6</xdr:col>
                    <xdr:colOff>38100</xdr:colOff>
                    <xdr:row>12</xdr:row>
                    <xdr:rowOff>7620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Group Box 6">
              <controlPr defaultSize="0" print="0" autoFill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Option Button 7">
              <controlPr defaultSize="0" autoFill="0" autoLine="0" autoPict="0">
                <anchor moveWithCells="1">
                  <from>
                    <xdr:col>6</xdr:col>
                    <xdr:colOff>38100</xdr:colOff>
                    <xdr:row>13</xdr:row>
                    <xdr:rowOff>7620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Group Box 8">
              <controlPr defaultSize="0" print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Option Button 9">
              <controlPr defaultSize="0" autoFill="0" autoLine="0" autoPict="0">
                <anchor moveWithCells="1">
                  <from>
                    <xdr:col>6</xdr:col>
                    <xdr:colOff>38100</xdr:colOff>
                    <xdr:row>14</xdr:row>
                    <xdr:rowOff>7620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Group Box 10">
              <controlPr defaultSize="0" print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Option Button 11">
              <controlPr defaultSize="0" autoFill="0" autoLine="0" autoPict="0">
                <anchor moveWithCells="1">
                  <from>
                    <xdr:col>6</xdr:col>
                    <xdr:colOff>38100</xdr:colOff>
                    <xdr:row>16</xdr:row>
                    <xdr:rowOff>7620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Group Box 12">
              <controlPr defaultSize="0" print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Option Button 13">
              <controlPr defaultSize="0" autoFill="0" autoLine="0" autoPict="0">
                <anchor moveWithCells="1">
                  <from>
                    <xdr:col>6</xdr:col>
                    <xdr:colOff>38100</xdr:colOff>
                    <xdr:row>17</xdr:row>
                    <xdr:rowOff>7620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Group Box 14">
              <controlPr defaultSize="0" print="0" autoFill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Option Button 15">
              <controlPr defaultSize="0" autoFill="0" autoLine="0" autoPict="0">
                <anchor moveWithCells="1">
                  <from>
                    <xdr:col>6</xdr:col>
                    <xdr:colOff>38100</xdr:colOff>
                    <xdr:row>18</xdr:row>
                    <xdr:rowOff>7620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Group Box 16">
              <controlPr defaultSize="0" print="0" autoFill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Option Button 17">
              <controlPr defaultSize="0" autoFill="0" autoLine="0" autoPict="0">
                <anchor moveWithCells="1">
                  <from>
                    <xdr:col>6</xdr:col>
                    <xdr:colOff>38100</xdr:colOff>
                    <xdr:row>19</xdr:row>
                    <xdr:rowOff>7620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Group Box 18">
              <controlPr defaultSize="0" print="0" autoFill="0" autoPict="0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Option Button 19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7620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Option Button 20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7620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Option Button 21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7620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Option Button 22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7620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Option Button 23">
              <controlPr defaultSize="0" autoFill="0" autoLine="0" autoPict="0">
                <anchor moveWithCells="1">
                  <from>
                    <xdr:col>5</xdr:col>
                    <xdr:colOff>38100</xdr:colOff>
                    <xdr:row>14</xdr:row>
                    <xdr:rowOff>7620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Option Button 24">
              <controlPr defaultSize="0" autoFill="0" autoLine="0" autoPict="0">
                <anchor moveWithCells="1">
                  <from>
                    <xdr:col>5</xdr:col>
                    <xdr:colOff>38100</xdr:colOff>
                    <xdr:row>13</xdr:row>
                    <xdr:rowOff>7620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Option Button 25">
              <controlPr defaultSize="0" autoFill="0" autoLine="0" autoPict="0">
                <anchor moveWithCells="1">
                  <from>
                    <xdr:col>5</xdr:col>
                    <xdr:colOff>38100</xdr:colOff>
                    <xdr:row>12</xdr:row>
                    <xdr:rowOff>7620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ClearCal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Spinner 27">
              <controlPr defaultSize="0" print="0" autoPict="0">
                <anchor moveWithCells="1" siz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Spinner 28">
              <controlPr defaultSize="0" print="0" autoPict="0">
                <anchor moveWithCells="1" sizeWithCells="1">
                  <from>
                    <xdr:col>6</xdr:col>
                    <xdr:colOff>38100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Spinner 29">
              <controlPr defaultSize="0" print="0" autoPict="0">
                <anchor moveWithCells="1" sizeWithCells="1">
                  <from>
                    <xdr:col>6</xdr:col>
                    <xdr:colOff>38100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Spinner 30">
              <controlPr defaultSize="0" print="0" autoPict="0">
                <anchor moveWithCells="1" siz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Spinner 31">
              <controlPr defaultSize="0" print="0" autoPict="0">
                <anchor moveWithCells="1" sizeWithCells="1">
                  <from>
                    <xdr:col>6</xdr:col>
                    <xdr:colOff>38100</xdr:colOff>
                    <xdr:row>27</xdr:row>
                    <xdr:rowOff>251460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Spinner 32">
              <controlPr defaultSize="0" print="0" autoPict="0">
                <anchor moveWithCells="1" sizeWithCells="1">
                  <from>
                    <xdr:col>6</xdr:col>
                    <xdr:colOff>38100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Spinner 33">
              <controlPr defaultSize="0" print="0" autoPict="0">
                <anchor moveWithCells="1" sizeWithCells="1">
                  <from>
                    <xdr:col>6</xdr:col>
                    <xdr:colOff>38100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Spinner 34">
              <controlPr defaultSize="0" print="0" autoPict="0">
                <anchor moveWithCells="1" sizeWithCells="1">
                  <from>
                    <xdr:col>6</xdr:col>
                    <xdr:colOff>38100</xdr:colOff>
                    <xdr:row>30</xdr:row>
                    <xdr:rowOff>251460</xdr:rowOff>
                  </from>
                  <to>
                    <xdr:col>7</xdr:col>
                    <xdr:colOff>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Spinner 35">
              <controlPr defaultSize="0" print="0" autoPict="0" macro="[0]!Resolution_23">
                <anchor moveWithCells="1" sizeWithCells="1">
                  <from>
                    <xdr:col>2</xdr:col>
                    <xdr:colOff>731520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Spinner 36">
              <controlPr defaultSize="0" print="0" autoPict="0" macro="[0]!Resolution_24">
                <anchor moveWithCells="1" sizeWithCells="1">
                  <from>
                    <xdr:col>2</xdr:col>
                    <xdr:colOff>731520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Spinner 37">
              <controlPr defaultSize="0" print="0" autoPict="0" macro="[0]!Resolution_25">
                <anchor moveWithCells="1" sizeWithCells="1">
                  <from>
                    <xdr:col>2</xdr:col>
                    <xdr:colOff>731520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Spinner 38">
              <controlPr defaultSize="0" print="0" autoPict="0" macro="[0]!Resolution_28">
                <anchor moveWithCells="1" sizeWithCells="1">
                  <from>
                    <xdr:col>2</xdr:col>
                    <xdr:colOff>731520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Spinner 39">
              <controlPr defaultSize="0" print="0" autoPict="0" macro="[0]!Resolution_29">
                <anchor moveWithCells="1" sizeWithCells="1">
                  <from>
                    <xdr:col>2</xdr:col>
                    <xdr:colOff>731520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Spinner 40">
              <controlPr defaultSize="0" print="0" autoPict="0" macro="[0]!Resolution_30">
                <anchor moveWithCells="1" sizeWithCells="1">
                  <from>
                    <xdr:col>2</xdr:col>
                    <xdr:colOff>731520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Spinner 41">
              <controlPr defaultSize="0" print="0" autoPict="0" macro="[0]!Resolution_31">
                <anchor moveWithCells="1" sizeWithCells="1">
                  <from>
                    <xdr:col>2</xdr:col>
                    <xdr:colOff>731520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Spinner 42">
              <controlPr defaultSize="0" print="0" autoPict="0" macro="[0]!Resolution_32">
                <anchor moveWithCells="1" sizeWithCells="1">
                  <from>
                    <xdr:col>2</xdr:col>
                    <xdr:colOff>731520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6" name="Button 47">
              <controlPr defaultSize="0" print="0" autoFill="0" autoPict="0" macro="[0]!PrintBoth">
                <anchor moveWithCells="1" sizeWithCells="1">
                  <from>
                    <xdr:col>1</xdr:col>
                    <xdr:colOff>1866900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7" name="Button 48">
              <controlPr defaultSize="0" print="0" autoFill="0" autoPict="0" macro="[0]!PrintCalOnly">
                <anchor moveWithCells="1" sizeWithCells="1">
                  <from>
                    <xdr:col>2</xdr:col>
                    <xdr:colOff>944880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B3403-D5F9-4BCA-85A5-2BB9423BEC6C}">
  <sheetPr codeName="Sheet3"/>
  <dimension ref="A1:N500"/>
  <sheetViews>
    <sheetView workbookViewId="0">
      <selection activeCell="N1" sqref="N1:N3"/>
    </sheetView>
  </sheetViews>
  <sheetFormatPr defaultColWidth="9.109375" defaultRowHeight="14.4" x14ac:dyDescent="0.3"/>
  <cols>
    <col min="1" max="1" width="35.44140625" style="18" customWidth="1"/>
    <col min="2" max="4" width="2.88671875" style="18" customWidth="1"/>
    <col min="5" max="7" width="9.109375" style="18"/>
    <col min="8" max="11" width="6.109375" style="18" customWidth="1"/>
    <col min="12" max="16384" width="9.109375" style="18"/>
  </cols>
  <sheetData>
    <row r="1" spans="1:14" x14ac:dyDescent="0.3">
      <c r="A1" s="17" t="s">
        <v>30</v>
      </c>
      <c r="E1" s="18" cm="1">
        <f t="array" ref="E1">IFERROR(ROW(INDEX(E2:E500,MATCH(TRUE,INDEX((E2:E500&lt;&gt;FALSE),0),0))),0)</f>
        <v>181</v>
      </c>
      <c r="F1" s="18" cm="1">
        <f t="array" ref="F1">MIN(IF([1]Details!$A$2:$A$500="",ROW([1]Details!$A$2:$A$500)))</f>
        <v>221</v>
      </c>
      <c r="M1" s="18" t="str">
        <f>_xlfn.CONCAT("A"&amp;E1)</f>
        <v>A181</v>
      </c>
      <c r="N1" s="18" t="s">
        <v>79</v>
      </c>
    </row>
    <row r="2" spans="1:14" x14ac:dyDescent="0.3">
      <c r="A2" s="18" t="str" cm="1">
        <f t="array" ref="A2">_xlfn._xlws.SORT(_xlfn._xlws.FILTER([1]Details!$A$2:$A$500,ISNUMBER(SEARCH(Worksheet!B1,[1]Details!$A$2:$A$500)),"Not Found"))</f>
        <v>Start typing then use drop-down</v>
      </c>
      <c r="E2" s="18" t="b" cm="1">
        <f t="array" ref="E2:E500">ISNUMBER(SEARCH([1]Details!$A$2:$A$500,Worksheet!B1))</f>
        <v>0</v>
      </c>
      <c r="G2" s="18" t="str">
        <f>_xlfn.CONCAT("'C:\CC\[Customers.xlsx]Details'!$C$"&amp;E1)</f>
        <v>'C:\CC\[Customers.xlsx]Details'!$C$181</v>
      </c>
      <c r="M2" s="18" t="str">
        <f>_xlfn.CONCAT("B"&amp;E1)</f>
        <v>B181</v>
      </c>
      <c r="N2" s="18" t="s">
        <v>80</v>
      </c>
    </row>
    <row r="3" spans="1:14" x14ac:dyDescent="0.3">
      <c r="E3" s="18" t="b">
        <v>0</v>
      </c>
      <c r="G3" s="18" t="str">
        <f>_xlfn.CONCAT("C"&amp;E1)</f>
        <v>C181</v>
      </c>
      <c r="M3" s="18" t="str">
        <f>_xlfn.CONCAT("C"&amp;E1)</f>
        <v>C181</v>
      </c>
      <c r="N3" s="18" t="s">
        <v>81</v>
      </c>
    </row>
    <row r="4" spans="1:14" x14ac:dyDescent="0.3">
      <c r="E4" s="18" t="b">
        <v>0</v>
      </c>
    </row>
    <row r="5" spans="1:14" x14ac:dyDescent="0.3">
      <c r="E5" s="18" t="b">
        <v>0</v>
      </c>
    </row>
    <row r="6" spans="1:14" x14ac:dyDescent="0.3">
      <c r="E6" s="18" t="b">
        <v>0</v>
      </c>
    </row>
    <row r="7" spans="1:14" x14ac:dyDescent="0.3">
      <c r="E7" s="18" t="b">
        <v>0</v>
      </c>
    </row>
    <row r="8" spans="1:14" x14ac:dyDescent="0.3">
      <c r="E8" s="18" t="b">
        <v>0</v>
      </c>
    </row>
    <row r="9" spans="1:14" x14ac:dyDescent="0.3">
      <c r="E9" s="18" t="b">
        <v>0</v>
      </c>
    </row>
    <row r="10" spans="1:14" x14ac:dyDescent="0.3">
      <c r="E10" s="18" t="b">
        <v>0</v>
      </c>
    </row>
    <row r="11" spans="1:14" x14ac:dyDescent="0.3">
      <c r="E11" s="18" t="b">
        <v>0</v>
      </c>
    </row>
    <row r="12" spans="1:14" x14ac:dyDescent="0.3">
      <c r="E12" s="18" t="b">
        <v>0</v>
      </c>
    </row>
    <row r="13" spans="1:14" x14ac:dyDescent="0.3">
      <c r="E13" s="18" t="b">
        <v>0</v>
      </c>
    </row>
    <row r="14" spans="1:14" x14ac:dyDescent="0.3">
      <c r="E14" s="18" t="b">
        <v>0</v>
      </c>
    </row>
    <row r="15" spans="1:14" x14ac:dyDescent="0.3">
      <c r="E15" s="18" t="b">
        <v>0</v>
      </c>
    </row>
    <row r="16" spans="1:14" x14ac:dyDescent="0.3">
      <c r="E16" s="18" t="b">
        <v>0</v>
      </c>
    </row>
    <row r="17" spans="5:5" x14ac:dyDescent="0.3">
      <c r="E17" s="18" t="b">
        <v>0</v>
      </c>
    </row>
    <row r="18" spans="5:5" x14ac:dyDescent="0.3">
      <c r="E18" s="18" t="b">
        <v>0</v>
      </c>
    </row>
    <row r="19" spans="5:5" x14ac:dyDescent="0.3">
      <c r="E19" s="18" t="b">
        <v>0</v>
      </c>
    </row>
    <row r="20" spans="5:5" x14ac:dyDescent="0.3">
      <c r="E20" s="18" t="b">
        <v>0</v>
      </c>
    </row>
    <row r="21" spans="5:5" x14ac:dyDescent="0.3">
      <c r="E21" s="18" t="b">
        <v>0</v>
      </c>
    </row>
    <row r="22" spans="5:5" x14ac:dyDescent="0.3">
      <c r="E22" s="18" t="b">
        <v>0</v>
      </c>
    </row>
    <row r="23" spans="5:5" x14ac:dyDescent="0.3">
      <c r="E23" s="18" t="b">
        <v>0</v>
      </c>
    </row>
    <row r="24" spans="5:5" x14ac:dyDescent="0.3">
      <c r="E24" s="18" t="b">
        <v>0</v>
      </c>
    </row>
    <row r="25" spans="5:5" x14ac:dyDescent="0.3">
      <c r="E25" s="18" t="b">
        <v>0</v>
      </c>
    </row>
    <row r="26" spans="5:5" x14ac:dyDescent="0.3">
      <c r="E26" s="18" t="b">
        <v>0</v>
      </c>
    </row>
    <row r="27" spans="5:5" x14ac:dyDescent="0.3">
      <c r="E27" s="18" t="b">
        <v>0</v>
      </c>
    </row>
    <row r="28" spans="5:5" x14ac:dyDescent="0.3">
      <c r="E28" s="18" t="b">
        <v>0</v>
      </c>
    </row>
    <row r="29" spans="5:5" x14ac:dyDescent="0.3">
      <c r="E29" s="18" t="b">
        <v>0</v>
      </c>
    </row>
    <row r="30" spans="5:5" x14ac:dyDescent="0.3">
      <c r="E30" s="18" t="b">
        <v>0</v>
      </c>
    </row>
    <row r="31" spans="5:5" x14ac:dyDescent="0.3">
      <c r="E31" s="18" t="b">
        <v>0</v>
      </c>
    </row>
    <row r="32" spans="5:5" x14ac:dyDescent="0.3">
      <c r="E32" s="18" t="b">
        <v>0</v>
      </c>
    </row>
    <row r="33" spans="5:5" x14ac:dyDescent="0.3">
      <c r="E33" s="18" t="b">
        <v>0</v>
      </c>
    </row>
    <row r="34" spans="5:5" x14ac:dyDescent="0.3">
      <c r="E34" s="18" t="b">
        <v>0</v>
      </c>
    </row>
    <row r="35" spans="5:5" x14ac:dyDescent="0.3">
      <c r="E35" s="18" t="b">
        <v>0</v>
      </c>
    </row>
    <row r="36" spans="5:5" x14ac:dyDescent="0.3">
      <c r="E36" s="18" t="b">
        <v>0</v>
      </c>
    </row>
    <row r="37" spans="5:5" x14ac:dyDescent="0.3">
      <c r="E37" s="18" t="b">
        <v>0</v>
      </c>
    </row>
    <row r="38" spans="5:5" x14ac:dyDescent="0.3">
      <c r="E38" s="18" t="b">
        <v>0</v>
      </c>
    </row>
    <row r="39" spans="5:5" x14ac:dyDescent="0.3">
      <c r="E39" s="18" t="b">
        <v>0</v>
      </c>
    </row>
    <row r="40" spans="5:5" x14ac:dyDescent="0.3">
      <c r="E40" s="18" t="b">
        <v>0</v>
      </c>
    </row>
    <row r="41" spans="5:5" x14ac:dyDescent="0.3">
      <c r="E41" s="18" t="b">
        <v>0</v>
      </c>
    </row>
    <row r="42" spans="5:5" x14ac:dyDescent="0.3">
      <c r="E42" s="18" t="b">
        <v>0</v>
      </c>
    </row>
    <row r="43" spans="5:5" x14ac:dyDescent="0.3">
      <c r="E43" s="18" t="b">
        <v>0</v>
      </c>
    </row>
    <row r="44" spans="5:5" x14ac:dyDescent="0.3">
      <c r="E44" s="18" t="b">
        <v>0</v>
      </c>
    </row>
    <row r="45" spans="5:5" x14ac:dyDescent="0.3">
      <c r="E45" s="18" t="b">
        <v>0</v>
      </c>
    </row>
    <row r="46" spans="5:5" x14ac:dyDescent="0.3">
      <c r="E46" s="18" t="b">
        <v>0</v>
      </c>
    </row>
    <row r="47" spans="5:5" x14ac:dyDescent="0.3">
      <c r="E47" s="18" t="b">
        <v>0</v>
      </c>
    </row>
    <row r="48" spans="5:5" x14ac:dyDescent="0.3">
      <c r="E48" s="18" t="b">
        <v>0</v>
      </c>
    </row>
    <row r="49" spans="5:5" x14ac:dyDescent="0.3">
      <c r="E49" s="18" t="b">
        <v>0</v>
      </c>
    </row>
    <row r="50" spans="5:5" x14ac:dyDescent="0.3">
      <c r="E50" s="18" t="b">
        <v>0</v>
      </c>
    </row>
    <row r="51" spans="5:5" x14ac:dyDescent="0.3">
      <c r="E51" s="18" t="b">
        <v>0</v>
      </c>
    </row>
    <row r="52" spans="5:5" x14ac:dyDescent="0.3">
      <c r="E52" s="18" t="b">
        <v>0</v>
      </c>
    </row>
    <row r="53" spans="5:5" x14ac:dyDescent="0.3">
      <c r="E53" s="18" t="b">
        <v>0</v>
      </c>
    </row>
    <row r="54" spans="5:5" x14ac:dyDescent="0.3">
      <c r="E54" s="18" t="b">
        <v>0</v>
      </c>
    </row>
    <row r="55" spans="5:5" x14ac:dyDescent="0.3">
      <c r="E55" s="18" t="b">
        <v>0</v>
      </c>
    </row>
    <row r="56" spans="5:5" x14ac:dyDescent="0.3">
      <c r="E56" s="18" t="b">
        <v>0</v>
      </c>
    </row>
    <row r="57" spans="5:5" x14ac:dyDescent="0.3">
      <c r="E57" s="18" t="b">
        <v>0</v>
      </c>
    </row>
    <row r="58" spans="5:5" x14ac:dyDescent="0.3">
      <c r="E58" s="18" t="b">
        <v>0</v>
      </c>
    </row>
    <row r="59" spans="5:5" x14ac:dyDescent="0.3">
      <c r="E59" s="18" t="b">
        <v>0</v>
      </c>
    </row>
    <row r="60" spans="5:5" x14ac:dyDescent="0.3">
      <c r="E60" s="18" t="b">
        <v>0</v>
      </c>
    </row>
    <row r="61" spans="5:5" x14ac:dyDescent="0.3">
      <c r="E61" s="18" t="b">
        <v>0</v>
      </c>
    </row>
    <row r="62" spans="5:5" x14ac:dyDescent="0.3">
      <c r="E62" s="18" t="b">
        <v>0</v>
      </c>
    </row>
    <row r="63" spans="5:5" x14ac:dyDescent="0.3">
      <c r="E63" s="18" t="b">
        <v>0</v>
      </c>
    </row>
    <row r="64" spans="5:5" x14ac:dyDescent="0.3">
      <c r="E64" s="18" t="b">
        <v>0</v>
      </c>
    </row>
    <row r="65" spans="5:5" x14ac:dyDescent="0.3">
      <c r="E65" s="18" t="b">
        <v>0</v>
      </c>
    </row>
    <row r="66" spans="5:5" x14ac:dyDescent="0.3">
      <c r="E66" s="18" t="b">
        <v>0</v>
      </c>
    </row>
    <row r="67" spans="5:5" x14ac:dyDescent="0.3">
      <c r="E67" s="18" t="b">
        <v>0</v>
      </c>
    </row>
    <row r="68" spans="5:5" x14ac:dyDescent="0.3">
      <c r="E68" s="18" t="b">
        <v>0</v>
      </c>
    </row>
    <row r="69" spans="5:5" x14ac:dyDescent="0.3">
      <c r="E69" s="18" t="b">
        <v>0</v>
      </c>
    </row>
    <row r="70" spans="5:5" x14ac:dyDescent="0.3">
      <c r="E70" s="18" t="b">
        <v>0</v>
      </c>
    </row>
    <row r="71" spans="5:5" x14ac:dyDescent="0.3">
      <c r="E71" s="18" t="b">
        <v>0</v>
      </c>
    </row>
    <row r="72" spans="5:5" x14ac:dyDescent="0.3">
      <c r="E72" s="18" t="b">
        <v>0</v>
      </c>
    </row>
    <row r="73" spans="5:5" x14ac:dyDescent="0.3">
      <c r="E73" s="18" t="b">
        <v>0</v>
      </c>
    </row>
    <row r="74" spans="5:5" x14ac:dyDescent="0.3">
      <c r="E74" s="18" t="b">
        <v>0</v>
      </c>
    </row>
    <row r="75" spans="5:5" x14ac:dyDescent="0.3">
      <c r="E75" s="18" t="b">
        <v>0</v>
      </c>
    </row>
    <row r="76" spans="5:5" x14ac:dyDescent="0.3">
      <c r="E76" s="18" t="b">
        <v>0</v>
      </c>
    </row>
    <row r="77" spans="5:5" x14ac:dyDescent="0.3">
      <c r="E77" s="18" t="b">
        <v>0</v>
      </c>
    </row>
    <row r="78" spans="5:5" x14ac:dyDescent="0.3">
      <c r="E78" s="18" t="b">
        <v>0</v>
      </c>
    </row>
    <row r="79" spans="5:5" x14ac:dyDescent="0.3">
      <c r="E79" s="18" t="b">
        <v>0</v>
      </c>
    </row>
    <row r="80" spans="5:5" x14ac:dyDescent="0.3">
      <c r="E80" s="18" t="b">
        <v>0</v>
      </c>
    </row>
    <row r="81" spans="5:5" x14ac:dyDescent="0.3">
      <c r="E81" s="18" t="b">
        <v>0</v>
      </c>
    </row>
    <row r="82" spans="5:5" x14ac:dyDescent="0.3">
      <c r="E82" s="18" t="b">
        <v>0</v>
      </c>
    </row>
    <row r="83" spans="5:5" x14ac:dyDescent="0.3">
      <c r="E83" s="18" t="b">
        <v>0</v>
      </c>
    </row>
    <row r="84" spans="5:5" x14ac:dyDescent="0.3">
      <c r="E84" s="18" t="b">
        <v>0</v>
      </c>
    </row>
    <row r="85" spans="5:5" x14ac:dyDescent="0.3">
      <c r="E85" s="18" t="b">
        <v>0</v>
      </c>
    </row>
    <row r="86" spans="5:5" x14ac:dyDescent="0.3">
      <c r="E86" s="18" t="b">
        <v>0</v>
      </c>
    </row>
    <row r="87" spans="5:5" x14ac:dyDescent="0.3">
      <c r="E87" s="18" t="b">
        <v>0</v>
      </c>
    </row>
    <row r="88" spans="5:5" x14ac:dyDescent="0.3">
      <c r="E88" s="18" t="b">
        <v>0</v>
      </c>
    </row>
    <row r="89" spans="5:5" x14ac:dyDescent="0.3">
      <c r="E89" s="18" t="b">
        <v>0</v>
      </c>
    </row>
    <row r="90" spans="5:5" x14ac:dyDescent="0.3">
      <c r="E90" s="18" t="b">
        <v>0</v>
      </c>
    </row>
    <row r="91" spans="5:5" x14ac:dyDescent="0.3">
      <c r="E91" s="18" t="b">
        <v>0</v>
      </c>
    </row>
    <row r="92" spans="5:5" x14ac:dyDescent="0.3">
      <c r="E92" s="18" t="b">
        <v>0</v>
      </c>
    </row>
    <row r="93" spans="5:5" x14ac:dyDescent="0.3">
      <c r="E93" s="18" t="b">
        <v>0</v>
      </c>
    </row>
    <row r="94" spans="5:5" x14ac:dyDescent="0.3">
      <c r="E94" s="18" t="b">
        <v>0</v>
      </c>
    </row>
    <row r="95" spans="5:5" x14ac:dyDescent="0.3">
      <c r="E95" s="18" t="b">
        <v>0</v>
      </c>
    </row>
    <row r="96" spans="5:5" x14ac:dyDescent="0.3">
      <c r="E96" s="18" t="b">
        <v>0</v>
      </c>
    </row>
    <row r="97" spans="5:5" x14ac:dyDescent="0.3">
      <c r="E97" s="18" t="b">
        <v>0</v>
      </c>
    </row>
    <row r="98" spans="5:5" x14ac:dyDescent="0.3">
      <c r="E98" s="18" t="b">
        <v>0</v>
      </c>
    </row>
    <row r="99" spans="5:5" x14ac:dyDescent="0.3">
      <c r="E99" s="18" t="b">
        <v>0</v>
      </c>
    </row>
    <row r="100" spans="5:5" x14ac:dyDescent="0.3">
      <c r="E100" s="18" t="b">
        <v>0</v>
      </c>
    </row>
    <row r="101" spans="5:5" x14ac:dyDescent="0.3">
      <c r="E101" s="18" t="b">
        <v>0</v>
      </c>
    </row>
    <row r="102" spans="5:5" x14ac:dyDescent="0.3">
      <c r="E102" s="18" t="b">
        <v>0</v>
      </c>
    </row>
    <row r="103" spans="5:5" x14ac:dyDescent="0.3">
      <c r="E103" s="18" t="b">
        <v>0</v>
      </c>
    </row>
    <row r="104" spans="5:5" x14ac:dyDescent="0.3">
      <c r="E104" s="18" t="b">
        <v>0</v>
      </c>
    </row>
    <row r="105" spans="5:5" x14ac:dyDescent="0.3">
      <c r="E105" s="18" t="b">
        <v>0</v>
      </c>
    </row>
    <row r="106" spans="5:5" x14ac:dyDescent="0.3">
      <c r="E106" s="18" t="b">
        <v>0</v>
      </c>
    </row>
    <row r="107" spans="5:5" x14ac:dyDescent="0.3">
      <c r="E107" s="18" t="b">
        <v>0</v>
      </c>
    </row>
    <row r="108" spans="5:5" x14ac:dyDescent="0.3">
      <c r="E108" s="18" t="b">
        <v>0</v>
      </c>
    </row>
    <row r="109" spans="5:5" x14ac:dyDescent="0.3">
      <c r="E109" s="18" t="b">
        <v>0</v>
      </c>
    </row>
    <row r="110" spans="5:5" x14ac:dyDescent="0.3">
      <c r="E110" s="18" t="b">
        <v>0</v>
      </c>
    </row>
    <row r="111" spans="5:5" x14ac:dyDescent="0.3">
      <c r="E111" s="18" t="b">
        <v>0</v>
      </c>
    </row>
    <row r="112" spans="5:5" x14ac:dyDescent="0.3">
      <c r="E112" s="18" t="b">
        <v>0</v>
      </c>
    </row>
    <row r="113" spans="5:5" x14ac:dyDescent="0.3">
      <c r="E113" s="18" t="b">
        <v>0</v>
      </c>
    </row>
    <row r="114" spans="5:5" x14ac:dyDescent="0.3">
      <c r="E114" s="18" t="b">
        <v>0</v>
      </c>
    </row>
    <row r="115" spans="5:5" x14ac:dyDescent="0.3">
      <c r="E115" s="18" t="b">
        <v>0</v>
      </c>
    </row>
    <row r="116" spans="5:5" x14ac:dyDescent="0.3">
      <c r="E116" s="18" t="b">
        <v>0</v>
      </c>
    </row>
    <row r="117" spans="5:5" x14ac:dyDescent="0.3">
      <c r="E117" s="18" t="b">
        <v>0</v>
      </c>
    </row>
    <row r="118" spans="5:5" x14ac:dyDescent="0.3">
      <c r="E118" s="18" t="b">
        <v>0</v>
      </c>
    </row>
    <row r="119" spans="5:5" x14ac:dyDescent="0.3">
      <c r="E119" s="18" t="b">
        <v>0</v>
      </c>
    </row>
    <row r="120" spans="5:5" x14ac:dyDescent="0.3">
      <c r="E120" s="18" t="b">
        <v>0</v>
      </c>
    </row>
    <row r="121" spans="5:5" x14ac:dyDescent="0.3">
      <c r="E121" s="18" t="b">
        <v>0</v>
      </c>
    </row>
    <row r="122" spans="5:5" x14ac:dyDescent="0.3">
      <c r="E122" s="18" t="b">
        <v>0</v>
      </c>
    </row>
    <row r="123" spans="5:5" x14ac:dyDescent="0.3">
      <c r="E123" s="18" t="b">
        <v>0</v>
      </c>
    </row>
    <row r="124" spans="5:5" x14ac:dyDescent="0.3">
      <c r="E124" s="18" t="b">
        <v>0</v>
      </c>
    </row>
    <row r="125" spans="5:5" x14ac:dyDescent="0.3">
      <c r="E125" s="18" t="b">
        <v>0</v>
      </c>
    </row>
    <row r="126" spans="5:5" x14ac:dyDescent="0.3">
      <c r="E126" s="18" t="b">
        <v>0</v>
      </c>
    </row>
    <row r="127" spans="5:5" x14ac:dyDescent="0.3">
      <c r="E127" s="18" t="b">
        <v>0</v>
      </c>
    </row>
    <row r="128" spans="5:5" x14ac:dyDescent="0.3">
      <c r="E128" s="18" t="b">
        <v>0</v>
      </c>
    </row>
    <row r="129" spans="5:5" x14ac:dyDescent="0.3">
      <c r="E129" s="18" t="b">
        <v>0</v>
      </c>
    </row>
    <row r="130" spans="5:5" x14ac:dyDescent="0.3">
      <c r="E130" s="18" t="b">
        <v>0</v>
      </c>
    </row>
    <row r="131" spans="5:5" x14ac:dyDescent="0.3">
      <c r="E131" s="18" t="b">
        <v>0</v>
      </c>
    </row>
    <row r="132" spans="5:5" x14ac:dyDescent="0.3">
      <c r="E132" s="18" t="b">
        <v>0</v>
      </c>
    </row>
    <row r="133" spans="5:5" x14ac:dyDescent="0.3">
      <c r="E133" s="18" t="b">
        <v>0</v>
      </c>
    </row>
    <row r="134" spans="5:5" x14ac:dyDescent="0.3">
      <c r="E134" s="18" t="b">
        <v>0</v>
      </c>
    </row>
    <row r="135" spans="5:5" x14ac:dyDescent="0.3">
      <c r="E135" s="18" t="b">
        <v>0</v>
      </c>
    </row>
    <row r="136" spans="5:5" x14ac:dyDescent="0.3">
      <c r="E136" s="18" t="b">
        <v>0</v>
      </c>
    </row>
    <row r="137" spans="5:5" x14ac:dyDescent="0.3">
      <c r="E137" s="18" t="b">
        <v>0</v>
      </c>
    </row>
    <row r="138" spans="5:5" x14ac:dyDescent="0.3">
      <c r="E138" s="18" t="b">
        <v>0</v>
      </c>
    </row>
    <row r="139" spans="5:5" x14ac:dyDescent="0.3">
      <c r="E139" s="18" t="b">
        <v>0</v>
      </c>
    </row>
    <row r="140" spans="5:5" x14ac:dyDescent="0.3">
      <c r="E140" s="18" t="b">
        <v>0</v>
      </c>
    </row>
    <row r="141" spans="5:5" x14ac:dyDescent="0.3">
      <c r="E141" s="18" t="b">
        <v>0</v>
      </c>
    </row>
    <row r="142" spans="5:5" x14ac:dyDescent="0.3">
      <c r="E142" s="18" t="b">
        <v>0</v>
      </c>
    </row>
    <row r="143" spans="5:5" x14ac:dyDescent="0.3">
      <c r="E143" s="18" t="b">
        <v>0</v>
      </c>
    </row>
    <row r="144" spans="5:5" x14ac:dyDescent="0.3">
      <c r="E144" s="18" t="b">
        <v>0</v>
      </c>
    </row>
    <row r="145" spans="5:5" x14ac:dyDescent="0.3">
      <c r="E145" s="18" t="b">
        <v>0</v>
      </c>
    </row>
    <row r="146" spans="5:5" x14ac:dyDescent="0.3">
      <c r="E146" s="18" t="b">
        <v>0</v>
      </c>
    </row>
    <row r="147" spans="5:5" x14ac:dyDescent="0.3">
      <c r="E147" s="18" t="b">
        <v>0</v>
      </c>
    </row>
    <row r="148" spans="5:5" x14ac:dyDescent="0.3">
      <c r="E148" s="18" t="b">
        <v>0</v>
      </c>
    </row>
    <row r="149" spans="5:5" x14ac:dyDescent="0.3">
      <c r="E149" s="18" t="b">
        <v>0</v>
      </c>
    </row>
    <row r="150" spans="5:5" x14ac:dyDescent="0.3">
      <c r="E150" s="18" t="b">
        <v>0</v>
      </c>
    </row>
    <row r="151" spans="5:5" x14ac:dyDescent="0.3">
      <c r="E151" s="18" t="b">
        <v>0</v>
      </c>
    </row>
    <row r="152" spans="5:5" x14ac:dyDescent="0.3">
      <c r="E152" s="18" t="b">
        <v>0</v>
      </c>
    </row>
    <row r="153" spans="5:5" x14ac:dyDescent="0.3">
      <c r="E153" s="18" t="b">
        <v>0</v>
      </c>
    </row>
    <row r="154" spans="5:5" x14ac:dyDescent="0.3">
      <c r="E154" s="18" t="b">
        <v>0</v>
      </c>
    </row>
    <row r="155" spans="5:5" x14ac:dyDescent="0.3">
      <c r="E155" s="18" t="b">
        <v>0</v>
      </c>
    </row>
    <row r="156" spans="5:5" x14ac:dyDescent="0.3">
      <c r="E156" s="18" t="b">
        <v>0</v>
      </c>
    </row>
    <row r="157" spans="5:5" x14ac:dyDescent="0.3">
      <c r="E157" s="18" t="b">
        <v>0</v>
      </c>
    </row>
    <row r="158" spans="5:5" x14ac:dyDescent="0.3">
      <c r="E158" s="18" t="b">
        <v>0</v>
      </c>
    </row>
    <row r="159" spans="5:5" x14ac:dyDescent="0.3">
      <c r="E159" s="18" t="b">
        <v>0</v>
      </c>
    </row>
    <row r="160" spans="5:5" x14ac:dyDescent="0.3">
      <c r="E160" s="18" t="b">
        <v>0</v>
      </c>
    </row>
    <row r="161" spans="5:5" x14ac:dyDescent="0.3">
      <c r="E161" s="18" t="b">
        <v>0</v>
      </c>
    </row>
    <row r="162" spans="5:5" x14ac:dyDescent="0.3">
      <c r="E162" s="18" t="b">
        <v>0</v>
      </c>
    </row>
    <row r="163" spans="5:5" x14ac:dyDescent="0.3">
      <c r="E163" s="18" t="b">
        <v>0</v>
      </c>
    </row>
    <row r="164" spans="5:5" x14ac:dyDescent="0.3">
      <c r="E164" s="18" t="b">
        <v>0</v>
      </c>
    </row>
    <row r="165" spans="5:5" x14ac:dyDescent="0.3">
      <c r="E165" s="18" t="b">
        <v>0</v>
      </c>
    </row>
    <row r="166" spans="5:5" x14ac:dyDescent="0.3">
      <c r="E166" s="18" t="b">
        <v>0</v>
      </c>
    </row>
    <row r="167" spans="5:5" x14ac:dyDescent="0.3">
      <c r="E167" s="18" t="b">
        <v>0</v>
      </c>
    </row>
    <row r="168" spans="5:5" x14ac:dyDescent="0.3">
      <c r="E168" s="18" t="b">
        <v>0</v>
      </c>
    </row>
    <row r="169" spans="5:5" x14ac:dyDescent="0.3">
      <c r="E169" s="18" t="b">
        <v>0</v>
      </c>
    </row>
    <row r="170" spans="5:5" x14ac:dyDescent="0.3">
      <c r="E170" s="18" t="b">
        <v>0</v>
      </c>
    </row>
    <row r="171" spans="5:5" x14ac:dyDescent="0.3">
      <c r="E171" s="18" t="b">
        <v>0</v>
      </c>
    </row>
    <row r="172" spans="5:5" x14ac:dyDescent="0.3">
      <c r="E172" s="18" t="b">
        <v>0</v>
      </c>
    </row>
    <row r="173" spans="5:5" x14ac:dyDescent="0.3">
      <c r="E173" s="18" t="b">
        <v>0</v>
      </c>
    </row>
    <row r="174" spans="5:5" x14ac:dyDescent="0.3">
      <c r="E174" s="18" t="b">
        <v>0</v>
      </c>
    </row>
    <row r="175" spans="5:5" x14ac:dyDescent="0.3">
      <c r="E175" s="18" t="b">
        <v>0</v>
      </c>
    </row>
    <row r="176" spans="5:5" x14ac:dyDescent="0.3">
      <c r="E176" s="18" t="b">
        <v>0</v>
      </c>
    </row>
    <row r="177" spans="5:5" x14ac:dyDescent="0.3">
      <c r="E177" s="18" t="b">
        <v>0</v>
      </c>
    </row>
    <row r="178" spans="5:5" x14ac:dyDescent="0.3">
      <c r="E178" s="18" t="b">
        <v>0</v>
      </c>
    </row>
    <row r="179" spans="5:5" x14ac:dyDescent="0.3">
      <c r="E179" s="18" t="b">
        <v>0</v>
      </c>
    </row>
    <row r="180" spans="5:5" x14ac:dyDescent="0.3">
      <c r="E180" s="18" t="b">
        <v>0</v>
      </c>
    </row>
    <row r="181" spans="5:5" x14ac:dyDescent="0.3">
      <c r="E181" s="18" t="b">
        <v>1</v>
      </c>
    </row>
    <row r="182" spans="5:5" x14ac:dyDescent="0.3">
      <c r="E182" s="18" t="b">
        <v>0</v>
      </c>
    </row>
    <row r="183" spans="5:5" x14ac:dyDescent="0.3">
      <c r="E183" s="18" t="b">
        <v>0</v>
      </c>
    </row>
    <row r="184" spans="5:5" x14ac:dyDescent="0.3">
      <c r="E184" s="18" t="b">
        <v>0</v>
      </c>
    </row>
    <row r="185" spans="5:5" x14ac:dyDescent="0.3">
      <c r="E185" s="18" t="b">
        <v>0</v>
      </c>
    </row>
    <row r="186" spans="5:5" x14ac:dyDescent="0.3">
      <c r="E186" s="18" t="b">
        <v>0</v>
      </c>
    </row>
    <row r="187" spans="5:5" x14ac:dyDescent="0.3">
      <c r="E187" s="18" t="b">
        <v>0</v>
      </c>
    </row>
    <row r="188" spans="5:5" x14ac:dyDescent="0.3">
      <c r="E188" s="18" t="b">
        <v>0</v>
      </c>
    </row>
    <row r="189" spans="5:5" x14ac:dyDescent="0.3">
      <c r="E189" s="18" t="b">
        <v>0</v>
      </c>
    </row>
    <row r="190" spans="5:5" x14ac:dyDescent="0.3">
      <c r="E190" s="18" t="b">
        <v>0</v>
      </c>
    </row>
    <row r="191" spans="5:5" x14ac:dyDescent="0.3">
      <c r="E191" s="18" t="b">
        <v>0</v>
      </c>
    </row>
    <row r="192" spans="5:5" x14ac:dyDescent="0.3">
      <c r="E192" s="18" t="b">
        <v>0</v>
      </c>
    </row>
    <row r="193" spans="5:5" x14ac:dyDescent="0.3">
      <c r="E193" s="18" t="b">
        <v>0</v>
      </c>
    </row>
    <row r="194" spans="5:5" x14ac:dyDescent="0.3">
      <c r="E194" s="18" t="b">
        <v>0</v>
      </c>
    </row>
    <row r="195" spans="5:5" x14ac:dyDescent="0.3">
      <c r="E195" s="18" t="b">
        <v>0</v>
      </c>
    </row>
    <row r="196" spans="5:5" x14ac:dyDescent="0.3">
      <c r="E196" s="18" t="b">
        <v>0</v>
      </c>
    </row>
    <row r="197" spans="5:5" x14ac:dyDescent="0.3">
      <c r="E197" s="18" t="b">
        <v>0</v>
      </c>
    </row>
    <row r="198" spans="5:5" x14ac:dyDescent="0.3">
      <c r="E198" s="18" t="b">
        <v>0</v>
      </c>
    </row>
    <row r="199" spans="5:5" x14ac:dyDescent="0.3">
      <c r="E199" s="18" t="b">
        <v>0</v>
      </c>
    </row>
    <row r="200" spans="5:5" x14ac:dyDescent="0.3">
      <c r="E200" s="18" t="b">
        <v>0</v>
      </c>
    </row>
    <row r="201" spans="5:5" x14ac:dyDescent="0.3">
      <c r="E201" s="18" t="b">
        <v>0</v>
      </c>
    </row>
    <row r="202" spans="5:5" x14ac:dyDescent="0.3">
      <c r="E202" s="18" t="b">
        <v>0</v>
      </c>
    </row>
    <row r="203" spans="5:5" x14ac:dyDescent="0.3">
      <c r="E203" s="18" t="b">
        <v>0</v>
      </c>
    </row>
    <row r="204" spans="5:5" x14ac:dyDescent="0.3">
      <c r="E204" s="18" t="b">
        <v>0</v>
      </c>
    </row>
    <row r="205" spans="5:5" x14ac:dyDescent="0.3">
      <c r="E205" s="18" t="b">
        <v>0</v>
      </c>
    </row>
    <row r="206" spans="5:5" x14ac:dyDescent="0.3">
      <c r="E206" s="18" t="b">
        <v>0</v>
      </c>
    </row>
    <row r="207" spans="5:5" x14ac:dyDescent="0.3">
      <c r="E207" s="18" t="b">
        <v>0</v>
      </c>
    </row>
    <row r="208" spans="5:5" x14ac:dyDescent="0.3">
      <c r="E208" s="18" t="b">
        <v>0</v>
      </c>
    </row>
    <row r="209" spans="5:5" x14ac:dyDescent="0.3">
      <c r="E209" s="18" t="b">
        <v>0</v>
      </c>
    </row>
    <row r="210" spans="5:5" x14ac:dyDescent="0.3">
      <c r="E210" s="18" t="b">
        <v>0</v>
      </c>
    </row>
    <row r="211" spans="5:5" x14ac:dyDescent="0.3">
      <c r="E211" s="18" t="b">
        <v>0</v>
      </c>
    </row>
    <row r="212" spans="5:5" x14ac:dyDescent="0.3">
      <c r="E212" s="18" t="b">
        <v>0</v>
      </c>
    </row>
    <row r="213" spans="5:5" x14ac:dyDescent="0.3">
      <c r="E213" s="18" t="b">
        <v>0</v>
      </c>
    </row>
    <row r="214" spans="5:5" x14ac:dyDescent="0.3">
      <c r="E214" s="18" t="b">
        <v>0</v>
      </c>
    </row>
    <row r="215" spans="5:5" x14ac:dyDescent="0.3">
      <c r="E215" s="18" t="b">
        <v>0</v>
      </c>
    </row>
    <row r="216" spans="5:5" x14ac:dyDescent="0.3">
      <c r="E216" s="18" t="b">
        <v>0</v>
      </c>
    </row>
    <row r="217" spans="5:5" x14ac:dyDescent="0.3">
      <c r="E217" s="18" t="b">
        <v>0</v>
      </c>
    </row>
    <row r="218" spans="5:5" x14ac:dyDescent="0.3">
      <c r="E218" s="18" t="b">
        <v>0</v>
      </c>
    </row>
    <row r="219" spans="5:5" x14ac:dyDescent="0.3">
      <c r="E219" s="18" t="b">
        <v>0</v>
      </c>
    </row>
    <row r="220" spans="5:5" x14ac:dyDescent="0.3">
      <c r="E220" s="18" t="b">
        <v>0</v>
      </c>
    </row>
    <row r="221" spans="5:5" x14ac:dyDescent="0.3">
      <c r="E221" s="18" t="b">
        <v>1</v>
      </c>
    </row>
    <row r="222" spans="5:5" x14ac:dyDescent="0.3">
      <c r="E222" s="18" t="b">
        <v>1</v>
      </c>
    </row>
    <row r="223" spans="5:5" x14ac:dyDescent="0.3">
      <c r="E223" s="18" t="b">
        <v>1</v>
      </c>
    </row>
    <row r="224" spans="5:5" x14ac:dyDescent="0.3">
      <c r="E224" s="18" t="b">
        <v>1</v>
      </c>
    </row>
    <row r="225" spans="5:5" x14ac:dyDescent="0.3">
      <c r="E225" s="18" t="b">
        <v>1</v>
      </c>
    </row>
    <row r="226" spans="5:5" x14ac:dyDescent="0.3">
      <c r="E226" s="18" t="b">
        <v>1</v>
      </c>
    </row>
    <row r="227" spans="5:5" x14ac:dyDescent="0.3">
      <c r="E227" s="18" t="b">
        <v>1</v>
      </c>
    </row>
    <row r="228" spans="5:5" x14ac:dyDescent="0.3">
      <c r="E228" s="18" t="b">
        <v>1</v>
      </c>
    </row>
    <row r="229" spans="5:5" x14ac:dyDescent="0.3">
      <c r="E229" s="18" t="b">
        <v>1</v>
      </c>
    </row>
    <row r="230" spans="5:5" x14ac:dyDescent="0.3">
      <c r="E230" s="18" t="b">
        <v>1</v>
      </c>
    </row>
    <row r="231" spans="5:5" x14ac:dyDescent="0.3">
      <c r="E231" s="18" t="b">
        <v>1</v>
      </c>
    </row>
    <row r="232" spans="5:5" x14ac:dyDescent="0.3">
      <c r="E232" s="18" t="b">
        <v>1</v>
      </c>
    </row>
    <row r="233" spans="5:5" x14ac:dyDescent="0.3">
      <c r="E233" s="18" t="b">
        <v>1</v>
      </c>
    </row>
    <row r="234" spans="5:5" x14ac:dyDescent="0.3">
      <c r="E234" s="18" t="b">
        <v>1</v>
      </c>
    </row>
    <row r="235" spans="5:5" x14ac:dyDescent="0.3">
      <c r="E235" s="18" t="b">
        <v>1</v>
      </c>
    </row>
    <row r="236" spans="5:5" x14ac:dyDescent="0.3">
      <c r="E236" s="18" t="b">
        <v>1</v>
      </c>
    </row>
    <row r="237" spans="5:5" x14ac:dyDescent="0.3">
      <c r="E237" s="18" t="b">
        <v>1</v>
      </c>
    </row>
    <row r="238" spans="5:5" x14ac:dyDescent="0.3">
      <c r="E238" s="18" t="b">
        <v>1</v>
      </c>
    </row>
    <row r="239" spans="5:5" x14ac:dyDescent="0.3">
      <c r="E239" s="18" t="b">
        <v>1</v>
      </c>
    </row>
    <row r="240" spans="5:5" x14ac:dyDescent="0.3">
      <c r="E240" s="18" t="b">
        <v>1</v>
      </c>
    </row>
    <row r="241" spans="5:5" x14ac:dyDescent="0.3">
      <c r="E241" s="18" t="b">
        <v>1</v>
      </c>
    </row>
    <row r="242" spans="5:5" x14ac:dyDescent="0.3">
      <c r="E242" s="18" t="b">
        <v>1</v>
      </c>
    </row>
    <row r="243" spans="5:5" x14ac:dyDescent="0.3">
      <c r="E243" s="18" t="b">
        <v>1</v>
      </c>
    </row>
    <row r="244" spans="5:5" x14ac:dyDescent="0.3">
      <c r="E244" s="18" t="b">
        <v>1</v>
      </c>
    </row>
    <row r="245" spans="5:5" x14ac:dyDescent="0.3">
      <c r="E245" s="18" t="b">
        <v>1</v>
      </c>
    </row>
    <row r="246" spans="5:5" x14ac:dyDescent="0.3">
      <c r="E246" s="18" t="b">
        <v>1</v>
      </c>
    </row>
    <row r="247" spans="5:5" x14ac:dyDescent="0.3">
      <c r="E247" s="18" t="b">
        <v>1</v>
      </c>
    </row>
    <row r="248" spans="5:5" x14ac:dyDescent="0.3">
      <c r="E248" s="18" t="b">
        <v>1</v>
      </c>
    </row>
    <row r="249" spans="5:5" x14ac:dyDescent="0.3">
      <c r="E249" s="18" t="b">
        <v>1</v>
      </c>
    </row>
    <row r="250" spans="5:5" x14ac:dyDescent="0.3">
      <c r="E250" s="18" t="b">
        <v>1</v>
      </c>
    </row>
    <row r="251" spans="5:5" x14ac:dyDescent="0.3">
      <c r="E251" s="18" t="b">
        <v>1</v>
      </c>
    </row>
    <row r="252" spans="5:5" x14ac:dyDescent="0.3">
      <c r="E252" s="18" t="b">
        <v>1</v>
      </c>
    </row>
    <row r="253" spans="5:5" x14ac:dyDescent="0.3">
      <c r="E253" s="18" t="b">
        <v>1</v>
      </c>
    </row>
    <row r="254" spans="5:5" x14ac:dyDescent="0.3">
      <c r="E254" s="18" t="b">
        <v>1</v>
      </c>
    </row>
    <row r="255" spans="5:5" x14ac:dyDescent="0.3">
      <c r="E255" s="18" t="b">
        <v>1</v>
      </c>
    </row>
    <row r="256" spans="5:5" x14ac:dyDescent="0.3">
      <c r="E256" s="18" t="b">
        <v>1</v>
      </c>
    </row>
    <row r="257" spans="5:5" x14ac:dyDescent="0.3">
      <c r="E257" s="18" t="b">
        <v>1</v>
      </c>
    </row>
    <row r="258" spans="5:5" x14ac:dyDescent="0.3">
      <c r="E258" s="18" t="b">
        <v>1</v>
      </c>
    </row>
    <row r="259" spans="5:5" x14ac:dyDescent="0.3">
      <c r="E259" s="18" t="b">
        <v>1</v>
      </c>
    </row>
    <row r="260" spans="5:5" x14ac:dyDescent="0.3">
      <c r="E260" s="18" t="b">
        <v>1</v>
      </c>
    </row>
    <row r="261" spans="5:5" x14ac:dyDescent="0.3">
      <c r="E261" s="18" t="b">
        <v>1</v>
      </c>
    </row>
    <row r="262" spans="5:5" x14ac:dyDescent="0.3">
      <c r="E262" s="18" t="b">
        <v>1</v>
      </c>
    </row>
    <row r="263" spans="5:5" x14ac:dyDescent="0.3">
      <c r="E263" s="18" t="b">
        <v>1</v>
      </c>
    </row>
    <row r="264" spans="5:5" x14ac:dyDescent="0.3">
      <c r="E264" s="18" t="b">
        <v>1</v>
      </c>
    </row>
    <row r="265" spans="5:5" x14ac:dyDescent="0.3">
      <c r="E265" s="18" t="b">
        <v>1</v>
      </c>
    </row>
    <row r="266" spans="5:5" x14ac:dyDescent="0.3">
      <c r="E266" s="18" t="b">
        <v>1</v>
      </c>
    </row>
    <row r="267" spans="5:5" x14ac:dyDescent="0.3">
      <c r="E267" s="18" t="b">
        <v>1</v>
      </c>
    </row>
    <row r="268" spans="5:5" x14ac:dyDescent="0.3">
      <c r="E268" s="18" t="b">
        <v>1</v>
      </c>
    </row>
    <row r="269" spans="5:5" x14ac:dyDescent="0.3">
      <c r="E269" s="18" t="b">
        <v>1</v>
      </c>
    </row>
    <row r="270" spans="5:5" x14ac:dyDescent="0.3">
      <c r="E270" s="18" t="b">
        <v>1</v>
      </c>
    </row>
    <row r="271" spans="5:5" x14ac:dyDescent="0.3">
      <c r="E271" s="18" t="b">
        <v>1</v>
      </c>
    </row>
    <row r="272" spans="5:5" x14ac:dyDescent="0.3">
      <c r="E272" s="18" t="b">
        <v>1</v>
      </c>
    </row>
    <row r="273" spans="5:5" x14ac:dyDescent="0.3">
      <c r="E273" s="18" t="b">
        <v>1</v>
      </c>
    </row>
    <row r="274" spans="5:5" x14ac:dyDescent="0.3">
      <c r="E274" s="18" t="b">
        <v>1</v>
      </c>
    </row>
    <row r="275" spans="5:5" x14ac:dyDescent="0.3">
      <c r="E275" s="18" t="b">
        <v>1</v>
      </c>
    </row>
    <row r="276" spans="5:5" x14ac:dyDescent="0.3">
      <c r="E276" s="18" t="b">
        <v>1</v>
      </c>
    </row>
    <row r="277" spans="5:5" x14ac:dyDescent="0.3">
      <c r="E277" s="18" t="b">
        <v>1</v>
      </c>
    </row>
    <row r="278" spans="5:5" x14ac:dyDescent="0.3">
      <c r="E278" s="18" t="b">
        <v>1</v>
      </c>
    </row>
    <row r="279" spans="5:5" x14ac:dyDescent="0.3">
      <c r="E279" s="18" t="b">
        <v>1</v>
      </c>
    </row>
    <row r="280" spans="5:5" x14ac:dyDescent="0.3">
      <c r="E280" s="18" t="b">
        <v>1</v>
      </c>
    </row>
    <row r="281" spans="5:5" x14ac:dyDescent="0.3">
      <c r="E281" s="18" t="b">
        <v>1</v>
      </c>
    </row>
    <row r="282" spans="5:5" x14ac:dyDescent="0.3">
      <c r="E282" s="18" t="b">
        <v>1</v>
      </c>
    </row>
    <row r="283" spans="5:5" x14ac:dyDescent="0.3">
      <c r="E283" s="18" t="b">
        <v>1</v>
      </c>
    </row>
    <row r="284" spans="5:5" x14ac:dyDescent="0.3">
      <c r="E284" s="18" t="b">
        <v>1</v>
      </c>
    </row>
    <row r="285" spans="5:5" x14ac:dyDescent="0.3">
      <c r="E285" s="18" t="b">
        <v>1</v>
      </c>
    </row>
    <row r="286" spans="5:5" x14ac:dyDescent="0.3">
      <c r="E286" s="18" t="b">
        <v>1</v>
      </c>
    </row>
    <row r="287" spans="5:5" x14ac:dyDescent="0.3">
      <c r="E287" s="18" t="b">
        <v>1</v>
      </c>
    </row>
    <row r="288" spans="5:5" x14ac:dyDescent="0.3">
      <c r="E288" s="18" t="b">
        <v>1</v>
      </c>
    </row>
    <row r="289" spans="5:5" x14ac:dyDescent="0.3">
      <c r="E289" s="18" t="b">
        <v>1</v>
      </c>
    </row>
    <row r="290" spans="5:5" x14ac:dyDescent="0.3">
      <c r="E290" s="18" t="b">
        <v>1</v>
      </c>
    </row>
    <row r="291" spans="5:5" x14ac:dyDescent="0.3">
      <c r="E291" s="18" t="b">
        <v>1</v>
      </c>
    </row>
    <row r="292" spans="5:5" x14ac:dyDescent="0.3">
      <c r="E292" s="18" t="b">
        <v>1</v>
      </c>
    </row>
    <row r="293" spans="5:5" x14ac:dyDescent="0.3">
      <c r="E293" s="18" t="b">
        <v>1</v>
      </c>
    </row>
    <row r="294" spans="5:5" x14ac:dyDescent="0.3">
      <c r="E294" s="18" t="b">
        <v>1</v>
      </c>
    </row>
    <row r="295" spans="5:5" x14ac:dyDescent="0.3">
      <c r="E295" s="18" t="b">
        <v>1</v>
      </c>
    </row>
    <row r="296" spans="5:5" x14ac:dyDescent="0.3">
      <c r="E296" s="18" t="b">
        <v>1</v>
      </c>
    </row>
    <row r="297" spans="5:5" x14ac:dyDescent="0.3">
      <c r="E297" s="18" t="b">
        <v>1</v>
      </c>
    </row>
    <row r="298" spans="5:5" x14ac:dyDescent="0.3">
      <c r="E298" s="18" t="b">
        <v>1</v>
      </c>
    </row>
    <row r="299" spans="5:5" x14ac:dyDescent="0.3">
      <c r="E299" s="18" t="b">
        <v>1</v>
      </c>
    </row>
    <row r="300" spans="5:5" x14ac:dyDescent="0.3">
      <c r="E300" s="18" t="b">
        <v>1</v>
      </c>
    </row>
    <row r="301" spans="5:5" x14ac:dyDescent="0.3">
      <c r="E301" s="18" t="b">
        <v>1</v>
      </c>
    </row>
    <row r="302" spans="5:5" x14ac:dyDescent="0.3">
      <c r="E302" s="18" t="b">
        <v>1</v>
      </c>
    </row>
    <row r="303" spans="5:5" x14ac:dyDescent="0.3">
      <c r="E303" s="18" t="b">
        <v>1</v>
      </c>
    </row>
    <row r="304" spans="5:5" x14ac:dyDescent="0.3">
      <c r="E304" s="18" t="b">
        <v>1</v>
      </c>
    </row>
    <row r="305" spans="5:5" x14ac:dyDescent="0.3">
      <c r="E305" s="18" t="b">
        <v>1</v>
      </c>
    </row>
    <row r="306" spans="5:5" x14ac:dyDescent="0.3">
      <c r="E306" s="18" t="b">
        <v>1</v>
      </c>
    </row>
    <row r="307" spans="5:5" x14ac:dyDescent="0.3">
      <c r="E307" s="18" t="b">
        <v>1</v>
      </c>
    </row>
    <row r="308" spans="5:5" x14ac:dyDescent="0.3">
      <c r="E308" s="18" t="b">
        <v>1</v>
      </c>
    </row>
    <row r="309" spans="5:5" x14ac:dyDescent="0.3">
      <c r="E309" s="18" t="b">
        <v>1</v>
      </c>
    </row>
    <row r="310" spans="5:5" x14ac:dyDescent="0.3">
      <c r="E310" s="18" t="b">
        <v>1</v>
      </c>
    </row>
    <row r="311" spans="5:5" x14ac:dyDescent="0.3">
      <c r="E311" s="18" t="b">
        <v>1</v>
      </c>
    </row>
    <row r="312" spans="5:5" x14ac:dyDescent="0.3">
      <c r="E312" s="18" t="b">
        <v>1</v>
      </c>
    </row>
    <row r="313" spans="5:5" x14ac:dyDescent="0.3">
      <c r="E313" s="18" t="b">
        <v>1</v>
      </c>
    </row>
    <row r="314" spans="5:5" x14ac:dyDescent="0.3">
      <c r="E314" s="18" t="b">
        <v>1</v>
      </c>
    </row>
    <row r="315" spans="5:5" x14ac:dyDescent="0.3">
      <c r="E315" s="18" t="b">
        <v>1</v>
      </c>
    </row>
    <row r="316" spans="5:5" x14ac:dyDescent="0.3">
      <c r="E316" s="18" t="b">
        <v>1</v>
      </c>
    </row>
    <row r="317" spans="5:5" x14ac:dyDescent="0.3">
      <c r="E317" s="18" t="b">
        <v>1</v>
      </c>
    </row>
    <row r="318" spans="5:5" x14ac:dyDescent="0.3">
      <c r="E318" s="18" t="b">
        <v>1</v>
      </c>
    </row>
    <row r="319" spans="5:5" x14ac:dyDescent="0.3">
      <c r="E319" s="18" t="b">
        <v>1</v>
      </c>
    </row>
    <row r="320" spans="5:5" x14ac:dyDescent="0.3">
      <c r="E320" s="18" t="b">
        <v>1</v>
      </c>
    </row>
    <row r="321" spans="5:5" x14ac:dyDescent="0.3">
      <c r="E321" s="18" t="b">
        <v>1</v>
      </c>
    </row>
    <row r="322" spans="5:5" x14ac:dyDescent="0.3">
      <c r="E322" s="18" t="b">
        <v>1</v>
      </c>
    </row>
    <row r="323" spans="5:5" x14ac:dyDescent="0.3">
      <c r="E323" s="18" t="b">
        <v>1</v>
      </c>
    </row>
    <row r="324" spans="5:5" x14ac:dyDescent="0.3">
      <c r="E324" s="18" t="b">
        <v>1</v>
      </c>
    </row>
    <row r="325" spans="5:5" x14ac:dyDescent="0.3">
      <c r="E325" s="18" t="b">
        <v>1</v>
      </c>
    </row>
    <row r="326" spans="5:5" x14ac:dyDescent="0.3">
      <c r="E326" s="18" t="b">
        <v>1</v>
      </c>
    </row>
    <row r="327" spans="5:5" x14ac:dyDescent="0.3">
      <c r="E327" s="18" t="b">
        <v>1</v>
      </c>
    </row>
    <row r="328" spans="5:5" x14ac:dyDescent="0.3">
      <c r="E328" s="18" t="b">
        <v>1</v>
      </c>
    </row>
    <row r="329" spans="5:5" x14ac:dyDescent="0.3">
      <c r="E329" s="18" t="b">
        <v>1</v>
      </c>
    </row>
    <row r="330" spans="5:5" x14ac:dyDescent="0.3">
      <c r="E330" s="18" t="b">
        <v>1</v>
      </c>
    </row>
    <row r="331" spans="5:5" x14ac:dyDescent="0.3">
      <c r="E331" s="18" t="b">
        <v>1</v>
      </c>
    </row>
    <row r="332" spans="5:5" x14ac:dyDescent="0.3">
      <c r="E332" s="18" t="b">
        <v>1</v>
      </c>
    </row>
    <row r="333" spans="5:5" x14ac:dyDescent="0.3">
      <c r="E333" s="18" t="b">
        <v>1</v>
      </c>
    </row>
    <row r="334" spans="5:5" x14ac:dyDescent="0.3">
      <c r="E334" s="18" t="b">
        <v>1</v>
      </c>
    </row>
    <row r="335" spans="5:5" x14ac:dyDescent="0.3">
      <c r="E335" s="18" t="b">
        <v>1</v>
      </c>
    </row>
    <row r="336" spans="5:5" x14ac:dyDescent="0.3">
      <c r="E336" s="18" t="b">
        <v>1</v>
      </c>
    </row>
    <row r="337" spans="5:5" x14ac:dyDescent="0.3">
      <c r="E337" s="18" t="b">
        <v>1</v>
      </c>
    </row>
    <row r="338" spans="5:5" x14ac:dyDescent="0.3">
      <c r="E338" s="18" t="b">
        <v>1</v>
      </c>
    </row>
    <row r="339" spans="5:5" x14ac:dyDescent="0.3">
      <c r="E339" s="18" t="b">
        <v>1</v>
      </c>
    </row>
    <row r="340" spans="5:5" x14ac:dyDescent="0.3">
      <c r="E340" s="18" t="b">
        <v>1</v>
      </c>
    </row>
    <row r="341" spans="5:5" x14ac:dyDescent="0.3">
      <c r="E341" s="18" t="b">
        <v>1</v>
      </c>
    </row>
    <row r="342" spans="5:5" x14ac:dyDescent="0.3">
      <c r="E342" s="18" t="b">
        <v>1</v>
      </c>
    </row>
    <row r="343" spans="5:5" x14ac:dyDescent="0.3">
      <c r="E343" s="18" t="b">
        <v>1</v>
      </c>
    </row>
    <row r="344" spans="5:5" x14ac:dyDescent="0.3">
      <c r="E344" s="18" t="b">
        <v>1</v>
      </c>
    </row>
    <row r="345" spans="5:5" x14ac:dyDescent="0.3">
      <c r="E345" s="18" t="b">
        <v>1</v>
      </c>
    </row>
    <row r="346" spans="5:5" x14ac:dyDescent="0.3">
      <c r="E346" s="18" t="b">
        <v>1</v>
      </c>
    </row>
    <row r="347" spans="5:5" x14ac:dyDescent="0.3">
      <c r="E347" s="18" t="b">
        <v>1</v>
      </c>
    </row>
    <row r="348" spans="5:5" x14ac:dyDescent="0.3">
      <c r="E348" s="18" t="b">
        <v>1</v>
      </c>
    </row>
    <row r="349" spans="5:5" x14ac:dyDescent="0.3">
      <c r="E349" s="18" t="b">
        <v>1</v>
      </c>
    </row>
    <row r="350" spans="5:5" x14ac:dyDescent="0.3">
      <c r="E350" s="18" t="b">
        <v>1</v>
      </c>
    </row>
    <row r="351" spans="5:5" x14ac:dyDescent="0.3">
      <c r="E351" s="18" t="b">
        <v>1</v>
      </c>
    </row>
    <row r="352" spans="5:5" x14ac:dyDescent="0.3">
      <c r="E352" s="18" t="b">
        <v>1</v>
      </c>
    </row>
    <row r="353" spans="5:5" x14ac:dyDescent="0.3">
      <c r="E353" s="18" t="b">
        <v>1</v>
      </c>
    </row>
    <row r="354" spans="5:5" x14ac:dyDescent="0.3">
      <c r="E354" s="18" t="b">
        <v>1</v>
      </c>
    </row>
    <row r="355" spans="5:5" x14ac:dyDescent="0.3">
      <c r="E355" s="18" t="b">
        <v>1</v>
      </c>
    </row>
    <row r="356" spans="5:5" x14ac:dyDescent="0.3">
      <c r="E356" s="18" t="b">
        <v>1</v>
      </c>
    </row>
    <row r="357" spans="5:5" x14ac:dyDescent="0.3">
      <c r="E357" s="18" t="b">
        <v>1</v>
      </c>
    </row>
    <row r="358" spans="5:5" x14ac:dyDescent="0.3">
      <c r="E358" s="18" t="b">
        <v>1</v>
      </c>
    </row>
    <row r="359" spans="5:5" x14ac:dyDescent="0.3">
      <c r="E359" s="18" t="b">
        <v>1</v>
      </c>
    </row>
    <row r="360" spans="5:5" x14ac:dyDescent="0.3">
      <c r="E360" s="18" t="b">
        <v>1</v>
      </c>
    </row>
    <row r="361" spans="5:5" x14ac:dyDescent="0.3">
      <c r="E361" s="18" t="b">
        <v>1</v>
      </c>
    </row>
    <row r="362" spans="5:5" x14ac:dyDescent="0.3">
      <c r="E362" s="18" t="b">
        <v>1</v>
      </c>
    </row>
    <row r="363" spans="5:5" x14ac:dyDescent="0.3">
      <c r="E363" s="18" t="b">
        <v>1</v>
      </c>
    </row>
    <row r="364" spans="5:5" x14ac:dyDescent="0.3">
      <c r="E364" s="18" t="b">
        <v>1</v>
      </c>
    </row>
    <row r="365" spans="5:5" x14ac:dyDescent="0.3">
      <c r="E365" s="18" t="b">
        <v>1</v>
      </c>
    </row>
    <row r="366" spans="5:5" x14ac:dyDescent="0.3">
      <c r="E366" s="18" t="b">
        <v>1</v>
      </c>
    </row>
    <row r="367" spans="5:5" x14ac:dyDescent="0.3">
      <c r="E367" s="18" t="b">
        <v>1</v>
      </c>
    </row>
    <row r="368" spans="5:5" x14ac:dyDescent="0.3">
      <c r="E368" s="18" t="b">
        <v>1</v>
      </c>
    </row>
    <row r="369" spans="5:5" x14ac:dyDescent="0.3">
      <c r="E369" s="18" t="b">
        <v>1</v>
      </c>
    </row>
    <row r="370" spans="5:5" x14ac:dyDescent="0.3">
      <c r="E370" s="18" t="b">
        <v>1</v>
      </c>
    </row>
    <row r="371" spans="5:5" x14ac:dyDescent="0.3">
      <c r="E371" s="18" t="b">
        <v>1</v>
      </c>
    </row>
    <row r="372" spans="5:5" x14ac:dyDescent="0.3">
      <c r="E372" s="18" t="b">
        <v>1</v>
      </c>
    </row>
    <row r="373" spans="5:5" x14ac:dyDescent="0.3">
      <c r="E373" s="18" t="b">
        <v>1</v>
      </c>
    </row>
    <row r="374" spans="5:5" x14ac:dyDescent="0.3">
      <c r="E374" s="18" t="b">
        <v>1</v>
      </c>
    </row>
    <row r="375" spans="5:5" x14ac:dyDescent="0.3">
      <c r="E375" s="18" t="b">
        <v>1</v>
      </c>
    </row>
    <row r="376" spans="5:5" x14ac:dyDescent="0.3">
      <c r="E376" s="18" t="b">
        <v>1</v>
      </c>
    </row>
    <row r="377" spans="5:5" x14ac:dyDescent="0.3">
      <c r="E377" s="18" t="b">
        <v>1</v>
      </c>
    </row>
    <row r="378" spans="5:5" x14ac:dyDescent="0.3">
      <c r="E378" s="18" t="b">
        <v>1</v>
      </c>
    </row>
    <row r="379" spans="5:5" x14ac:dyDescent="0.3">
      <c r="E379" s="18" t="b">
        <v>1</v>
      </c>
    </row>
    <row r="380" spans="5:5" x14ac:dyDescent="0.3">
      <c r="E380" s="18" t="b">
        <v>1</v>
      </c>
    </row>
    <row r="381" spans="5:5" x14ac:dyDescent="0.3">
      <c r="E381" s="18" t="b">
        <v>1</v>
      </c>
    </row>
    <row r="382" spans="5:5" x14ac:dyDescent="0.3">
      <c r="E382" s="18" t="b">
        <v>1</v>
      </c>
    </row>
    <row r="383" spans="5:5" x14ac:dyDescent="0.3">
      <c r="E383" s="18" t="b">
        <v>1</v>
      </c>
    </row>
    <row r="384" spans="5:5" x14ac:dyDescent="0.3">
      <c r="E384" s="18" t="b">
        <v>1</v>
      </c>
    </row>
    <row r="385" spans="5:5" x14ac:dyDescent="0.3">
      <c r="E385" s="18" t="b">
        <v>1</v>
      </c>
    </row>
    <row r="386" spans="5:5" x14ac:dyDescent="0.3">
      <c r="E386" s="18" t="b">
        <v>1</v>
      </c>
    </row>
    <row r="387" spans="5:5" x14ac:dyDescent="0.3">
      <c r="E387" s="18" t="b">
        <v>1</v>
      </c>
    </row>
    <row r="388" spans="5:5" x14ac:dyDescent="0.3">
      <c r="E388" s="18" t="b">
        <v>1</v>
      </c>
    </row>
    <row r="389" spans="5:5" x14ac:dyDescent="0.3">
      <c r="E389" s="18" t="b">
        <v>1</v>
      </c>
    </row>
    <row r="390" spans="5:5" x14ac:dyDescent="0.3">
      <c r="E390" s="18" t="b">
        <v>1</v>
      </c>
    </row>
    <row r="391" spans="5:5" x14ac:dyDescent="0.3">
      <c r="E391" s="18" t="b">
        <v>1</v>
      </c>
    </row>
    <row r="392" spans="5:5" x14ac:dyDescent="0.3">
      <c r="E392" s="18" t="b">
        <v>1</v>
      </c>
    </row>
    <row r="393" spans="5:5" x14ac:dyDescent="0.3">
      <c r="E393" s="18" t="b">
        <v>1</v>
      </c>
    </row>
    <row r="394" spans="5:5" x14ac:dyDescent="0.3">
      <c r="E394" s="18" t="b">
        <v>1</v>
      </c>
    </row>
    <row r="395" spans="5:5" x14ac:dyDescent="0.3">
      <c r="E395" s="18" t="b">
        <v>1</v>
      </c>
    </row>
    <row r="396" spans="5:5" x14ac:dyDescent="0.3">
      <c r="E396" s="18" t="b">
        <v>1</v>
      </c>
    </row>
    <row r="397" spans="5:5" x14ac:dyDescent="0.3">
      <c r="E397" s="18" t="b">
        <v>1</v>
      </c>
    </row>
    <row r="398" spans="5:5" x14ac:dyDescent="0.3">
      <c r="E398" s="18" t="b">
        <v>1</v>
      </c>
    </row>
    <row r="399" spans="5:5" x14ac:dyDescent="0.3">
      <c r="E399" s="18" t="b">
        <v>1</v>
      </c>
    </row>
    <row r="400" spans="5:5" x14ac:dyDescent="0.3">
      <c r="E400" s="18" t="b">
        <v>1</v>
      </c>
    </row>
    <row r="401" spans="5:5" x14ac:dyDescent="0.3">
      <c r="E401" s="18" t="b">
        <v>1</v>
      </c>
    </row>
    <row r="402" spans="5:5" x14ac:dyDescent="0.3">
      <c r="E402" s="18" t="b">
        <v>1</v>
      </c>
    </row>
    <row r="403" spans="5:5" x14ac:dyDescent="0.3">
      <c r="E403" s="18" t="b">
        <v>1</v>
      </c>
    </row>
    <row r="404" spans="5:5" x14ac:dyDescent="0.3">
      <c r="E404" s="18" t="b">
        <v>1</v>
      </c>
    </row>
    <row r="405" spans="5:5" x14ac:dyDescent="0.3">
      <c r="E405" s="18" t="b">
        <v>1</v>
      </c>
    </row>
    <row r="406" spans="5:5" x14ac:dyDescent="0.3">
      <c r="E406" s="18" t="b">
        <v>1</v>
      </c>
    </row>
    <row r="407" spans="5:5" x14ac:dyDescent="0.3">
      <c r="E407" s="18" t="b">
        <v>1</v>
      </c>
    </row>
    <row r="408" spans="5:5" x14ac:dyDescent="0.3">
      <c r="E408" s="18" t="b">
        <v>1</v>
      </c>
    </row>
    <row r="409" spans="5:5" x14ac:dyDescent="0.3">
      <c r="E409" s="18" t="b">
        <v>1</v>
      </c>
    </row>
    <row r="410" spans="5:5" x14ac:dyDescent="0.3">
      <c r="E410" s="18" t="b">
        <v>1</v>
      </c>
    </row>
    <row r="411" spans="5:5" x14ac:dyDescent="0.3">
      <c r="E411" s="18" t="b">
        <v>1</v>
      </c>
    </row>
    <row r="412" spans="5:5" x14ac:dyDescent="0.3">
      <c r="E412" s="18" t="b">
        <v>1</v>
      </c>
    </row>
    <row r="413" spans="5:5" x14ac:dyDescent="0.3">
      <c r="E413" s="18" t="b">
        <v>1</v>
      </c>
    </row>
    <row r="414" spans="5:5" x14ac:dyDescent="0.3">
      <c r="E414" s="18" t="b">
        <v>1</v>
      </c>
    </row>
    <row r="415" spans="5:5" x14ac:dyDescent="0.3">
      <c r="E415" s="18" t="b">
        <v>1</v>
      </c>
    </row>
    <row r="416" spans="5:5" x14ac:dyDescent="0.3">
      <c r="E416" s="18" t="b">
        <v>1</v>
      </c>
    </row>
    <row r="417" spans="5:5" x14ac:dyDescent="0.3">
      <c r="E417" s="18" t="b">
        <v>1</v>
      </c>
    </row>
    <row r="418" spans="5:5" x14ac:dyDescent="0.3">
      <c r="E418" s="18" t="b">
        <v>1</v>
      </c>
    </row>
    <row r="419" spans="5:5" x14ac:dyDescent="0.3">
      <c r="E419" s="18" t="b">
        <v>1</v>
      </c>
    </row>
    <row r="420" spans="5:5" x14ac:dyDescent="0.3">
      <c r="E420" s="18" t="b">
        <v>1</v>
      </c>
    </row>
    <row r="421" spans="5:5" x14ac:dyDescent="0.3">
      <c r="E421" s="18" t="b">
        <v>1</v>
      </c>
    </row>
    <row r="422" spans="5:5" x14ac:dyDescent="0.3">
      <c r="E422" s="18" t="b">
        <v>1</v>
      </c>
    </row>
    <row r="423" spans="5:5" x14ac:dyDescent="0.3">
      <c r="E423" s="18" t="b">
        <v>1</v>
      </c>
    </row>
    <row r="424" spans="5:5" x14ac:dyDescent="0.3">
      <c r="E424" s="18" t="b">
        <v>1</v>
      </c>
    </row>
    <row r="425" spans="5:5" x14ac:dyDescent="0.3">
      <c r="E425" s="18" t="b">
        <v>1</v>
      </c>
    </row>
    <row r="426" spans="5:5" x14ac:dyDescent="0.3">
      <c r="E426" s="18" t="b">
        <v>1</v>
      </c>
    </row>
    <row r="427" spans="5:5" x14ac:dyDescent="0.3">
      <c r="E427" s="18" t="b">
        <v>1</v>
      </c>
    </row>
    <row r="428" spans="5:5" x14ac:dyDescent="0.3">
      <c r="E428" s="18" t="b">
        <v>1</v>
      </c>
    </row>
    <row r="429" spans="5:5" x14ac:dyDescent="0.3">
      <c r="E429" s="18" t="b">
        <v>1</v>
      </c>
    </row>
    <row r="430" spans="5:5" x14ac:dyDescent="0.3">
      <c r="E430" s="18" t="b">
        <v>1</v>
      </c>
    </row>
    <row r="431" spans="5:5" x14ac:dyDescent="0.3">
      <c r="E431" s="18" t="b">
        <v>1</v>
      </c>
    </row>
    <row r="432" spans="5:5" x14ac:dyDescent="0.3">
      <c r="E432" s="18" t="b">
        <v>1</v>
      </c>
    </row>
    <row r="433" spans="5:5" x14ac:dyDescent="0.3">
      <c r="E433" s="18" t="b">
        <v>1</v>
      </c>
    </row>
    <row r="434" spans="5:5" x14ac:dyDescent="0.3">
      <c r="E434" s="18" t="b">
        <v>1</v>
      </c>
    </row>
    <row r="435" spans="5:5" x14ac:dyDescent="0.3">
      <c r="E435" s="18" t="b">
        <v>1</v>
      </c>
    </row>
    <row r="436" spans="5:5" x14ac:dyDescent="0.3">
      <c r="E436" s="18" t="b">
        <v>1</v>
      </c>
    </row>
    <row r="437" spans="5:5" x14ac:dyDescent="0.3">
      <c r="E437" s="18" t="b">
        <v>1</v>
      </c>
    </row>
    <row r="438" spans="5:5" x14ac:dyDescent="0.3">
      <c r="E438" s="18" t="b">
        <v>1</v>
      </c>
    </row>
    <row r="439" spans="5:5" x14ac:dyDescent="0.3">
      <c r="E439" s="18" t="b">
        <v>1</v>
      </c>
    </row>
    <row r="440" spans="5:5" x14ac:dyDescent="0.3">
      <c r="E440" s="18" t="b">
        <v>1</v>
      </c>
    </row>
    <row r="441" spans="5:5" x14ac:dyDescent="0.3">
      <c r="E441" s="18" t="b">
        <v>1</v>
      </c>
    </row>
    <row r="442" spans="5:5" x14ac:dyDescent="0.3">
      <c r="E442" s="18" t="b">
        <v>1</v>
      </c>
    </row>
    <row r="443" spans="5:5" x14ac:dyDescent="0.3">
      <c r="E443" s="18" t="b">
        <v>1</v>
      </c>
    </row>
    <row r="444" spans="5:5" x14ac:dyDescent="0.3">
      <c r="E444" s="18" t="b">
        <v>1</v>
      </c>
    </row>
    <row r="445" spans="5:5" x14ac:dyDescent="0.3">
      <c r="E445" s="18" t="b">
        <v>1</v>
      </c>
    </row>
    <row r="446" spans="5:5" x14ac:dyDescent="0.3">
      <c r="E446" s="18" t="b">
        <v>1</v>
      </c>
    </row>
    <row r="447" spans="5:5" x14ac:dyDescent="0.3">
      <c r="E447" s="18" t="b">
        <v>1</v>
      </c>
    </row>
    <row r="448" spans="5:5" x14ac:dyDescent="0.3">
      <c r="E448" s="18" t="b">
        <v>1</v>
      </c>
    </row>
    <row r="449" spans="5:5" x14ac:dyDescent="0.3">
      <c r="E449" s="18" t="b">
        <v>1</v>
      </c>
    </row>
    <row r="450" spans="5:5" x14ac:dyDescent="0.3">
      <c r="E450" s="18" t="b">
        <v>1</v>
      </c>
    </row>
    <row r="451" spans="5:5" x14ac:dyDescent="0.3">
      <c r="E451" s="18" t="b">
        <v>1</v>
      </c>
    </row>
    <row r="452" spans="5:5" x14ac:dyDescent="0.3">
      <c r="E452" s="18" t="b">
        <v>1</v>
      </c>
    </row>
    <row r="453" spans="5:5" x14ac:dyDescent="0.3">
      <c r="E453" s="18" t="b">
        <v>1</v>
      </c>
    </row>
    <row r="454" spans="5:5" x14ac:dyDescent="0.3">
      <c r="E454" s="18" t="b">
        <v>1</v>
      </c>
    </row>
    <row r="455" spans="5:5" x14ac:dyDescent="0.3">
      <c r="E455" s="18" t="b">
        <v>1</v>
      </c>
    </row>
    <row r="456" spans="5:5" x14ac:dyDescent="0.3">
      <c r="E456" s="18" t="b">
        <v>1</v>
      </c>
    </row>
    <row r="457" spans="5:5" x14ac:dyDescent="0.3">
      <c r="E457" s="18" t="b">
        <v>1</v>
      </c>
    </row>
    <row r="458" spans="5:5" x14ac:dyDescent="0.3">
      <c r="E458" s="18" t="b">
        <v>1</v>
      </c>
    </row>
    <row r="459" spans="5:5" x14ac:dyDescent="0.3">
      <c r="E459" s="18" t="b">
        <v>1</v>
      </c>
    </row>
    <row r="460" spans="5:5" x14ac:dyDescent="0.3">
      <c r="E460" s="18" t="b">
        <v>1</v>
      </c>
    </row>
    <row r="461" spans="5:5" x14ac:dyDescent="0.3">
      <c r="E461" s="18" t="b">
        <v>1</v>
      </c>
    </row>
    <row r="462" spans="5:5" x14ac:dyDescent="0.3">
      <c r="E462" s="18" t="b">
        <v>1</v>
      </c>
    </row>
    <row r="463" spans="5:5" x14ac:dyDescent="0.3">
      <c r="E463" s="18" t="b">
        <v>1</v>
      </c>
    </row>
    <row r="464" spans="5:5" x14ac:dyDescent="0.3">
      <c r="E464" s="18" t="b">
        <v>1</v>
      </c>
    </row>
    <row r="465" spans="5:5" x14ac:dyDescent="0.3">
      <c r="E465" s="18" t="b">
        <v>1</v>
      </c>
    </row>
    <row r="466" spans="5:5" x14ac:dyDescent="0.3">
      <c r="E466" s="18" t="b">
        <v>1</v>
      </c>
    </row>
    <row r="467" spans="5:5" x14ac:dyDescent="0.3">
      <c r="E467" s="18" t="b">
        <v>1</v>
      </c>
    </row>
    <row r="468" spans="5:5" x14ac:dyDescent="0.3">
      <c r="E468" s="18" t="b">
        <v>1</v>
      </c>
    </row>
    <row r="469" spans="5:5" x14ac:dyDescent="0.3">
      <c r="E469" s="18" t="b">
        <v>1</v>
      </c>
    </row>
    <row r="470" spans="5:5" x14ac:dyDescent="0.3">
      <c r="E470" s="18" t="b">
        <v>1</v>
      </c>
    </row>
    <row r="471" spans="5:5" x14ac:dyDescent="0.3">
      <c r="E471" s="18" t="b">
        <v>1</v>
      </c>
    </row>
    <row r="472" spans="5:5" x14ac:dyDescent="0.3">
      <c r="E472" s="18" t="b">
        <v>1</v>
      </c>
    </row>
    <row r="473" spans="5:5" x14ac:dyDescent="0.3">
      <c r="E473" s="18" t="b">
        <v>1</v>
      </c>
    </row>
    <row r="474" spans="5:5" x14ac:dyDescent="0.3">
      <c r="E474" s="18" t="b">
        <v>1</v>
      </c>
    </row>
    <row r="475" spans="5:5" x14ac:dyDescent="0.3">
      <c r="E475" s="18" t="b">
        <v>1</v>
      </c>
    </row>
    <row r="476" spans="5:5" x14ac:dyDescent="0.3">
      <c r="E476" s="18" t="b">
        <v>1</v>
      </c>
    </row>
    <row r="477" spans="5:5" x14ac:dyDescent="0.3">
      <c r="E477" s="18" t="b">
        <v>1</v>
      </c>
    </row>
    <row r="478" spans="5:5" x14ac:dyDescent="0.3">
      <c r="E478" s="18" t="b">
        <v>1</v>
      </c>
    </row>
    <row r="479" spans="5:5" x14ac:dyDescent="0.3">
      <c r="E479" s="18" t="b">
        <v>1</v>
      </c>
    </row>
    <row r="480" spans="5:5" x14ac:dyDescent="0.3">
      <c r="E480" s="18" t="b">
        <v>1</v>
      </c>
    </row>
    <row r="481" spans="5:5" x14ac:dyDescent="0.3">
      <c r="E481" s="18" t="b">
        <v>1</v>
      </c>
    </row>
    <row r="482" spans="5:5" x14ac:dyDescent="0.3">
      <c r="E482" s="18" t="b">
        <v>1</v>
      </c>
    </row>
    <row r="483" spans="5:5" x14ac:dyDescent="0.3">
      <c r="E483" s="18" t="b">
        <v>1</v>
      </c>
    </row>
    <row r="484" spans="5:5" x14ac:dyDescent="0.3">
      <c r="E484" s="18" t="b">
        <v>1</v>
      </c>
    </row>
    <row r="485" spans="5:5" x14ac:dyDescent="0.3">
      <c r="E485" s="18" t="b">
        <v>1</v>
      </c>
    </row>
    <row r="486" spans="5:5" x14ac:dyDescent="0.3">
      <c r="E486" s="18" t="b">
        <v>1</v>
      </c>
    </row>
    <row r="487" spans="5:5" x14ac:dyDescent="0.3">
      <c r="E487" s="18" t="b">
        <v>1</v>
      </c>
    </row>
    <row r="488" spans="5:5" x14ac:dyDescent="0.3">
      <c r="E488" s="18" t="b">
        <v>1</v>
      </c>
    </row>
    <row r="489" spans="5:5" x14ac:dyDescent="0.3">
      <c r="E489" s="18" t="b">
        <v>1</v>
      </c>
    </row>
    <row r="490" spans="5:5" x14ac:dyDescent="0.3">
      <c r="E490" s="18" t="b">
        <v>1</v>
      </c>
    </row>
    <row r="491" spans="5:5" x14ac:dyDescent="0.3">
      <c r="E491" s="18" t="b">
        <v>1</v>
      </c>
    </row>
    <row r="492" spans="5:5" x14ac:dyDescent="0.3">
      <c r="E492" s="18" t="b">
        <v>1</v>
      </c>
    </row>
    <row r="493" spans="5:5" x14ac:dyDescent="0.3">
      <c r="E493" s="18" t="b">
        <v>1</v>
      </c>
    </row>
    <row r="494" spans="5:5" x14ac:dyDescent="0.3">
      <c r="E494" s="18" t="b">
        <v>1</v>
      </c>
    </row>
    <row r="495" spans="5:5" x14ac:dyDescent="0.3">
      <c r="E495" s="18" t="b">
        <v>1</v>
      </c>
    </row>
    <row r="496" spans="5:5" x14ac:dyDescent="0.3">
      <c r="E496" s="18" t="b">
        <v>1</v>
      </c>
    </row>
    <row r="497" spans="5:5" x14ac:dyDescent="0.3">
      <c r="E497" s="18" t="b">
        <v>1</v>
      </c>
    </row>
    <row r="498" spans="5:5" x14ac:dyDescent="0.3">
      <c r="E498" s="18" t="b">
        <v>1</v>
      </c>
    </row>
    <row r="499" spans="5:5" x14ac:dyDescent="0.3">
      <c r="E499" s="18" t="b">
        <v>1</v>
      </c>
    </row>
    <row r="500" spans="5:5" x14ac:dyDescent="0.3">
      <c r="E500" s="18" t="b">
        <v>1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f294592-ffab-411f-a179-9994406570d1">
      <Terms xmlns="http://schemas.microsoft.com/office/infopath/2007/PartnerControls"/>
    </lcf76f155ced4ddcb4097134ff3c332f>
    <TaxCatchAll xmlns="a3e01dee-bbe7-4562-91e7-1f8753874f4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D36A7F82723458E4E2E3DE8453C42" ma:contentTypeVersion="16" ma:contentTypeDescription="Create a new document." ma:contentTypeScope="" ma:versionID="f4f648b76cbebfc8ff8ae4d229de89e9">
  <xsd:schema xmlns:xsd="http://www.w3.org/2001/XMLSchema" xmlns:xs="http://www.w3.org/2001/XMLSchema" xmlns:p="http://schemas.microsoft.com/office/2006/metadata/properties" xmlns:ns2="0f294592-ffab-411f-a179-9994406570d1" xmlns:ns3="a3e01dee-bbe7-4562-91e7-1f8753874f45" targetNamespace="http://schemas.microsoft.com/office/2006/metadata/properties" ma:root="true" ma:fieldsID="9a2a7f34aee7c247c845fa1616e3dd85" ns2:_="" ns3:_="">
    <xsd:import namespace="0f294592-ffab-411f-a179-9994406570d1"/>
    <xsd:import namespace="a3e01dee-bbe7-4562-91e7-1f8753874f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294592-ffab-411f-a179-9994406570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2face17-f96f-4e1c-8a45-b0db9faee6d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e01dee-bbe7-4562-91e7-1f8753874f4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0505c64-a687-4723-8d20-dccfd2ba946f}" ma:internalName="TaxCatchAll" ma:showField="CatchAllData" ma:web="a3e01dee-bbe7-4562-91e7-1f8753874f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705336-D483-4EE3-A02C-1DF3E09ED743}">
  <ds:schemaRefs>
    <ds:schemaRef ds:uri="http://schemas.openxmlformats.org/package/2006/metadata/core-properties"/>
    <ds:schemaRef ds:uri="http://purl.org/dc/terms/"/>
    <ds:schemaRef ds:uri="0f294592-ffab-411f-a179-9994406570d1"/>
    <ds:schemaRef ds:uri="http://schemas.microsoft.com/office/2006/documentManagement/types"/>
    <ds:schemaRef ds:uri="http://purl.org/dc/elements/1.1/"/>
    <ds:schemaRef ds:uri="http://purl.org/dc/dcmitype/"/>
    <ds:schemaRef ds:uri="a3e01dee-bbe7-4562-91e7-1f8753874f45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2769092-FA0A-44E5-AD5C-54D8D1C8657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4F6C954-6853-4BDA-B592-C827FEA1CB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Worksheet</vt:lpstr>
      <vt:lpstr>Cal</vt:lpstr>
      <vt:lpstr>aaaag100</vt:lpstr>
      <vt:lpstr>aaaag101</vt:lpstr>
      <vt:lpstr>aaag100</vt:lpstr>
      <vt:lpstr>aaag101</vt:lpstr>
      <vt:lpstr>Cal!Print_Area</vt:lpstr>
      <vt:lpstr>Worksheet!Print_Area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daved</dc:creator>
  <cp:lastModifiedBy>Brice McGrath</cp:lastModifiedBy>
  <cp:lastPrinted>2022-10-17T08:40:27Z</cp:lastPrinted>
  <dcterms:created xsi:type="dcterms:W3CDTF">2017-06-29T07:23:01Z</dcterms:created>
  <dcterms:modified xsi:type="dcterms:W3CDTF">2022-10-17T09:31:31Z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0x010100BE9D36A7F82723458E4E2E3DE8453C42</vt:lpwstr>
  </property>
  <property fmtid="{D5CDD505-2E9C-101B-9397-08002B2CF9AE}" pid="3" name="MediaServiceImageTags">
    <vt:lpwstr/>
  </property>
</Properties>
</file>